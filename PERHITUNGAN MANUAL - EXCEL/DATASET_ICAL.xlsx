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RIZAL\KAMPUS\SEMESTER_5\MATHEMATICS_FOR_AI\PROJECT_FINAL\PERHITUNGAN MANUAL\"/>
    </mc:Choice>
  </mc:AlternateContent>
  <xr:revisionPtr revIDLastSave="0" documentId="13_ncr:1_{6F537D4D-2310-4EF4-8013-EF1791788FD0}" xr6:coauthVersionLast="47" xr6:coauthVersionMax="47" xr10:uidLastSave="{00000000-0000-0000-0000-000000000000}"/>
  <bookViews>
    <workbookView xWindow="28680" yWindow="-120" windowWidth="29040" windowHeight="16440" activeTab="5" xr2:uid="{886BA1C8-6956-48F0-BE25-F622A8475F4C}"/>
  </bookViews>
  <sheets>
    <sheet name="DATASET_ICAL" sheetId="1" r:id="rId1"/>
    <sheet name="ITERASI_1" sheetId="2" r:id="rId2"/>
    <sheet name="ITERASI_2" sheetId="3" r:id="rId3"/>
    <sheet name="ITERASI_3" sheetId="4" r:id="rId4"/>
    <sheet name="ITERASI_4" sheetId="5" r:id="rId5"/>
    <sheet name="ITERASI_5" sheetId="6" r:id="rId6"/>
  </sheets>
  <definedNames>
    <definedName name="_xlnm.Print_Area" localSheetId="1">ITERASI_1!$I$18</definedName>
    <definedName name="_xlnm.Print_Area" localSheetId="2">ITERASI_2!$I$18</definedName>
    <definedName name="_xlnm.Print_Area" localSheetId="3">ITERASI_3!$I$18</definedName>
    <definedName name="_xlnm.Print_Area" localSheetId="4">ITERASI_4!$I$18</definedName>
    <definedName name="_xlnm.Print_Area" localSheetId="5">ITERASI_5!$I$18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6" l="1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A7" i="2"/>
  <c r="B7" i="2"/>
  <c r="C7" i="2"/>
  <c r="D7" i="2"/>
  <c r="E7" i="2" s="1"/>
  <c r="F7" i="2" s="1"/>
  <c r="A8" i="2"/>
  <c r="B8" i="2"/>
  <c r="C8" i="2"/>
  <c r="D8" i="2"/>
  <c r="E8" i="2"/>
  <c r="F8" i="2"/>
  <c r="A9" i="2"/>
  <c r="B9" i="2"/>
  <c r="C9" i="2"/>
  <c r="D9" i="2"/>
  <c r="E9" i="2"/>
  <c r="F9" i="2"/>
  <c r="A10" i="2"/>
  <c r="C10" i="2" s="1"/>
  <c r="D10" i="2" s="1"/>
  <c r="B10" i="2"/>
  <c r="A11" i="2"/>
  <c r="B11" i="2"/>
  <c r="C11" i="2"/>
  <c r="D11" i="2"/>
  <c r="E11" i="2"/>
  <c r="F11" i="2"/>
  <c r="A12" i="2"/>
  <c r="B12" i="2"/>
  <c r="C12" i="2"/>
  <c r="D12" i="2"/>
  <c r="E12" i="2"/>
  <c r="F12" i="2"/>
  <c r="A13" i="2"/>
  <c r="B13" i="2"/>
  <c r="C13" i="2"/>
  <c r="D13" i="2"/>
  <c r="E13" i="2" s="1"/>
  <c r="F13" i="2" s="1"/>
  <c r="A14" i="2"/>
  <c r="C14" i="2" s="1"/>
  <c r="D14" i="2" s="1"/>
  <c r="B14" i="2"/>
  <c r="A15" i="2"/>
  <c r="C15" i="2" s="1"/>
  <c r="D15" i="2" s="1"/>
  <c r="B15" i="2"/>
  <c r="A16" i="2"/>
  <c r="B16" i="2"/>
  <c r="C16" i="2"/>
  <c r="D16" i="2"/>
  <c r="E16" i="2"/>
  <c r="F16" i="2"/>
  <c r="A17" i="2"/>
  <c r="B17" i="2"/>
  <c r="C17" i="2"/>
  <c r="D17" i="2"/>
  <c r="E17" i="2" s="1"/>
  <c r="F17" i="2" s="1"/>
  <c r="A18" i="2"/>
  <c r="B18" i="2"/>
  <c r="C18" i="2"/>
  <c r="D18" i="2"/>
  <c r="E18" i="2" s="1"/>
  <c r="F18" i="2" s="1"/>
  <c r="A19" i="2"/>
  <c r="B19" i="2"/>
  <c r="C19" i="2"/>
  <c r="D19" i="2"/>
  <c r="E19" i="2"/>
  <c r="F19" i="2"/>
  <c r="A20" i="2"/>
  <c r="C20" i="2" s="1"/>
  <c r="D20" i="2" s="1"/>
  <c r="E20" i="2" s="1"/>
  <c r="F20" i="2" s="1"/>
  <c r="B20" i="2"/>
  <c r="A21" i="2"/>
  <c r="B21" i="2"/>
  <c r="C21" i="2"/>
  <c r="D21" i="2"/>
  <c r="E21" i="2" s="1"/>
  <c r="F21" i="2" s="1"/>
  <c r="A22" i="2"/>
  <c r="B22" i="2"/>
  <c r="C22" i="2"/>
  <c r="D22" i="2"/>
  <c r="E22" i="2"/>
  <c r="F22" i="2"/>
  <c r="A23" i="2"/>
  <c r="B23" i="2"/>
  <c r="C23" i="2"/>
  <c r="D23" i="2"/>
  <c r="E23" i="2"/>
  <c r="F23" i="2" s="1"/>
  <c r="A24" i="2"/>
  <c r="C24" i="2" s="1"/>
  <c r="D24" i="2" s="1"/>
  <c r="E24" i="2" s="1"/>
  <c r="F24" i="2" s="1"/>
  <c r="B24" i="2"/>
  <c r="A25" i="2"/>
  <c r="C25" i="2" s="1"/>
  <c r="D25" i="2" s="1"/>
  <c r="B25" i="2"/>
  <c r="A26" i="2"/>
  <c r="B26" i="2"/>
  <c r="C26" i="2"/>
  <c r="D26" i="2"/>
  <c r="E26" i="2" s="1"/>
  <c r="F26" i="2" s="1"/>
  <c r="A27" i="2"/>
  <c r="B27" i="2"/>
  <c r="C27" i="2"/>
  <c r="D27" i="2"/>
  <c r="E27" i="2"/>
  <c r="F27" i="2"/>
  <c r="A28" i="2"/>
  <c r="B28" i="2"/>
  <c r="C28" i="2"/>
  <c r="D28" i="2"/>
  <c r="E28" i="2" s="1"/>
  <c r="F28" i="2" s="1"/>
  <c r="A29" i="2"/>
  <c r="B29" i="2"/>
  <c r="C29" i="2"/>
  <c r="D29" i="2"/>
  <c r="E29" i="2" s="1"/>
  <c r="F29" i="2" s="1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 s="1"/>
  <c r="F32" i="2" s="1"/>
  <c r="A33" i="2"/>
  <c r="C33" i="2" s="1"/>
  <c r="D33" i="2" s="1"/>
  <c r="E33" i="2" s="1"/>
  <c r="F33" i="2" s="1"/>
  <c r="B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C36" i="2" s="1"/>
  <c r="D36" i="2" s="1"/>
  <c r="B36" i="2"/>
  <c r="A37" i="2"/>
  <c r="C37" i="2" s="1"/>
  <c r="D37" i="2" s="1"/>
  <c r="B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 s="1"/>
  <c r="F40" i="2" s="1"/>
  <c r="A41" i="2"/>
  <c r="C41" i="2" s="1"/>
  <c r="D41" i="2" s="1"/>
  <c r="B41" i="2"/>
  <c r="A42" i="2"/>
  <c r="B42" i="2"/>
  <c r="C42" i="2"/>
  <c r="D42" i="2"/>
  <c r="E42" i="2"/>
  <c r="F42" i="2"/>
  <c r="A43" i="2"/>
  <c r="B43" i="2"/>
  <c r="C43" i="2"/>
  <c r="D43" i="2"/>
  <c r="E43" i="2" s="1"/>
  <c r="F43" i="2" s="1"/>
  <c r="A44" i="2"/>
  <c r="B44" i="2"/>
  <c r="C44" i="2"/>
  <c r="D44" i="2"/>
  <c r="E44" i="2"/>
  <c r="F44" i="2"/>
  <c r="A45" i="2"/>
  <c r="B45" i="2"/>
  <c r="C45" i="2"/>
  <c r="D45" i="2"/>
  <c r="E45" i="2" s="1"/>
  <c r="F45" i="2" s="1"/>
  <c r="A46" i="2"/>
  <c r="B46" i="2"/>
  <c r="C46" i="2"/>
  <c r="D46" i="2"/>
  <c r="E46" i="2"/>
  <c r="F46" i="2"/>
  <c r="A47" i="2"/>
  <c r="C47" i="2" s="1"/>
  <c r="D47" i="2" s="1"/>
  <c r="B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C50" i="2" s="1"/>
  <c r="D50" i="2" s="1"/>
  <c r="E50" i="2" s="1"/>
  <c r="F50" i="2" s="1"/>
  <c r="B50" i="2"/>
  <c r="A51" i="2"/>
  <c r="B51" i="2"/>
  <c r="C51" i="2"/>
  <c r="D51" i="2"/>
  <c r="E51" i="2" s="1"/>
  <c r="F51" i="2" s="1"/>
  <c r="A52" i="2"/>
  <c r="B52" i="2"/>
  <c r="C52" i="2"/>
  <c r="D52" i="2"/>
  <c r="E52" i="2"/>
  <c r="F52" i="2"/>
  <c r="A53" i="2"/>
  <c r="B53" i="2"/>
  <c r="C53" i="2"/>
  <c r="D53" i="2"/>
  <c r="E53" i="2"/>
  <c r="F53" i="2" s="1"/>
  <c r="A54" i="2"/>
  <c r="C54" i="2" s="1"/>
  <c r="D54" i="2" s="1"/>
  <c r="E54" i="2" s="1"/>
  <c r="F54" i="2" s="1"/>
  <c r="B54" i="2"/>
  <c r="A55" i="2"/>
  <c r="B55" i="2"/>
  <c r="C55" i="2"/>
  <c r="D55" i="2"/>
  <c r="E55" i="2"/>
  <c r="F55" i="2"/>
  <c r="B6" i="2"/>
  <c r="A6" i="2"/>
  <c r="C6" i="2" s="1"/>
  <c r="D6" i="2" s="1"/>
  <c r="E6" i="2" s="1"/>
  <c r="F6" i="2" l="1"/>
  <c r="E41" i="2"/>
  <c r="F41" i="2" s="1"/>
  <c r="E10" i="2"/>
  <c r="F10" i="2" s="1"/>
  <c r="E15" i="2"/>
  <c r="F15" i="2" s="1"/>
  <c r="E37" i="2"/>
  <c r="F37" i="2" s="1"/>
  <c r="E25" i="2"/>
  <c r="F25" i="2" s="1"/>
  <c r="E36" i="2"/>
  <c r="F36" i="2" s="1"/>
  <c r="E14" i="2"/>
  <c r="F14" i="2" s="1"/>
  <c r="E47" i="2"/>
  <c r="F47" i="2" s="1"/>
  <c r="A58" i="2" l="1"/>
  <c r="B61" i="2" s="1"/>
  <c r="F2" i="3" s="1"/>
  <c r="B58" i="2"/>
  <c r="A61" i="2" s="1"/>
  <c r="F1" i="3" s="1"/>
  <c r="C49" i="3" l="1"/>
  <c r="D49" i="3" s="1"/>
  <c r="E49" i="3" s="1"/>
  <c r="F49" i="3" s="1"/>
  <c r="C38" i="3"/>
  <c r="D38" i="3" s="1"/>
  <c r="E38" i="3" s="1"/>
  <c r="F38" i="3" s="1"/>
  <c r="C27" i="3"/>
  <c r="D27" i="3" s="1"/>
  <c r="E27" i="3" s="1"/>
  <c r="F27" i="3" s="1"/>
  <c r="C16" i="3"/>
  <c r="D16" i="3" s="1"/>
  <c r="E16" i="3" s="1"/>
  <c r="F16" i="3" s="1"/>
  <c r="C17" i="3"/>
  <c r="D17" i="3" s="1"/>
  <c r="E17" i="3" s="1"/>
  <c r="F17" i="3" s="1"/>
  <c r="C24" i="3"/>
  <c r="D24" i="3" s="1"/>
  <c r="E24" i="3" s="1"/>
  <c r="F24" i="3" s="1"/>
  <c r="C39" i="3"/>
  <c r="D39" i="3" s="1"/>
  <c r="E39" i="3" s="1"/>
  <c r="F39" i="3" s="1"/>
  <c r="C25" i="3"/>
  <c r="D25" i="3" s="1"/>
  <c r="E25" i="3" s="1"/>
  <c r="F25" i="3" s="1"/>
  <c r="C8" i="3"/>
  <c r="D8" i="3" s="1"/>
  <c r="E8" i="3" s="1"/>
  <c r="F8" i="3" s="1"/>
  <c r="C46" i="3"/>
  <c r="D46" i="3" s="1"/>
  <c r="E46" i="3" s="1"/>
  <c r="F46" i="3" s="1"/>
  <c r="C29" i="3"/>
  <c r="D29" i="3" s="1"/>
  <c r="E29" i="3" s="1"/>
  <c r="F29" i="3" s="1"/>
  <c r="C28" i="3"/>
  <c r="D28" i="3" s="1"/>
  <c r="E28" i="3" s="1"/>
  <c r="F28" i="3" s="1"/>
  <c r="C36" i="3"/>
  <c r="D36" i="3" s="1"/>
  <c r="E36" i="3" s="1"/>
  <c r="F36" i="3" s="1"/>
  <c r="C40" i="3"/>
  <c r="D40" i="3" s="1"/>
  <c r="E40" i="3" s="1"/>
  <c r="F40" i="3" s="1"/>
  <c r="C9" i="3"/>
  <c r="D9" i="3" s="1"/>
  <c r="E9" i="3" s="1"/>
  <c r="F9" i="3" s="1"/>
  <c r="C10" i="3"/>
  <c r="D10" i="3" s="1"/>
  <c r="E10" i="3" s="1"/>
  <c r="F10" i="3" s="1"/>
  <c r="C42" i="3"/>
  <c r="D42" i="3" s="1"/>
  <c r="E42" i="3" s="1"/>
  <c r="F42" i="3" s="1"/>
  <c r="C6" i="3"/>
  <c r="D6" i="3" s="1"/>
  <c r="E6" i="3" s="1"/>
  <c r="C19" i="3"/>
  <c r="D19" i="3" s="1"/>
  <c r="E19" i="3" s="1"/>
  <c r="F19" i="3" s="1"/>
  <c r="C43" i="3"/>
  <c r="D43" i="3" s="1"/>
  <c r="E43" i="3" s="1"/>
  <c r="F43" i="3" s="1"/>
  <c r="C20" i="3"/>
  <c r="D20" i="3" s="1"/>
  <c r="E20" i="3" s="1"/>
  <c r="F20" i="3" s="1"/>
  <c r="C41" i="3"/>
  <c r="D41" i="3" s="1"/>
  <c r="E41" i="3" s="1"/>
  <c r="F41" i="3" s="1"/>
  <c r="C55" i="3"/>
  <c r="D55" i="3" s="1"/>
  <c r="E55" i="3" s="1"/>
  <c r="F55" i="3" s="1"/>
  <c r="C30" i="3"/>
  <c r="D30" i="3" s="1"/>
  <c r="E30" i="3" s="1"/>
  <c r="F30" i="3" s="1"/>
  <c r="C31" i="3"/>
  <c r="D31" i="3" s="1"/>
  <c r="E31" i="3" s="1"/>
  <c r="F31" i="3" s="1"/>
  <c r="C48" i="3"/>
  <c r="D48" i="3" s="1"/>
  <c r="E48" i="3" s="1"/>
  <c r="F48" i="3" s="1"/>
  <c r="C51" i="3"/>
  <c r="D51" i="3" s="1"/>
  <c r="E51" i="3" s="1"/>
  <c r="F51" i="3" s="1"/>
  <c r="C7" i="3"/>
  <c r="D7" i="3" s="1"/>
  <c r="E7" i="3" s="1"/>
  <c r="F7" i="3" s="1"/>
  <c r="C15" i="3"/>
  <c r="D15" i="3" s="1"/>
  <c r="E15" i="3" s="1"/>
  <c r="F15" i="3" s="1"/>
  <c r="C26" i="3"/>
  <c r="D26" i="3" s="1"/>
  <c r="E26" i="3" s="1"/>
  <c r="F26" i="3" s="1"/>
  <c r="C47" i="3"/>
  <c r="D47" i="3" s="1"/>
  <c r="E47" i="3" s="1"/>
  <c r="F47" i="3" s="1"/>
  <c r="C50" i="3"/>
  <c r="D50" i="3" s="1"/>
  <c r="E50" i="3" s="1"/>
  <c r="F50" i="3" s="1"/>
  <c r="C21" i="3"/>
  <c r="D21" i="3" s="1"/>
  <c r="E21" i="3" s="1"/>
  <c r="F21" i="3" s="1"/>
  <c r="C18" i="3"/>
  <c r="D18" i="3" s="1"/>
  <c r="E18" i="3" s="1"/>
  <c r="F18" i="3" s="1"/>
  <c r="C52" i="3"/>
  <c r="D52" i="3" s="1"/>
  <c r="E52" i="3" s="1"/>
  <c r="F52" i="3" s="1"/>
  <c r="C11" i="3"/>
  <c r="D11" i="3" s="1"/>
  <c r="E11" i="3" s="1"/>
  <c r="F11" i="3" s="1"/>
  <c r="C12" i="3"/>
  <c r="D12" i="3" s="1"/>
  <c r="E12" i="3" s="1"/>
  <c r="F12" i="3" s="1"/>
  <c r="C22" i="3"/>
  <c r="D22" i="3" s="1"/>
  <c r="E22" i="3" s="1"/>
  <c r="F22" i="3" s="1"/>
  <c r="C45" i="3"/>
  <c r="D45" i="3" s="1"/>
  <c r="E45" i="3" s="1"/>
  <c r="F45" i="3" s="1"/>
  <c r="C35" i="3"/>
  <c r="D35" i="3" s="1"/>
  <c r="E35" i="3" s="1"/>
  <c r="F35" i="3" s="1"/>
  <c r="C14" i="3"/>
  <c r="D14" i="3" s="1"/>
  <c r="E14" i="3" s="1"/>
  <c r="F14" i="3" s="1"/>
  <c r="C32" i="3"/>
  <c r="D32" i="3" s="1"/>
  <c r="E32" i="3" s="1"/>
  <c r="F32" i="3" s="1"/>
  <c r="C53" i="3"/>
  <c r="D53" i="3" s="1"/>
  <c r="E53" i="3" s="1"/>
  <c r="F53" i="3" s="1"/>
  <c r="C33" i="3"/>
  <c r="D33" i="3" s="1"/>
  <c r="E33" i="3" s="1"/>
  <c r="F33" i="3" s="1"/>
  <c r="C54" i="3"/>
  <c r="D54" i="3" s="1"/>
  <c r="E54" i="3" s="1"/>
  <c r="F54" i="3" s="1"/>
  <c r="C34" i="3"/>
  <c r="D34" i="3" s="1"/>
  <c r="E34" i="3" s="1"/>
  <c r="F34" i="3" s="1"/>
  <c r="C13" i="3"/>
  <c r="D13" i="3" s="1"/>
  <c r="E13" i="3" s="1"/>
  <c r="F13" i="3" s="1"/>
  <c r="C44" i="3"/>
  <c r="D44" i="3" s="1"/>
  <c r="E44" i="3" s="1"/>
  <c r="F44" i="3" s="1"/>
  <c r="C37" i="3"/>
  <c r="D37" i="3" s="1"/>
  <c r="E37" i="3" s="1"/>
  <c r="F37" i="3" s="1"/>
  <c r="C23" i="3"/>
  <c r="D23" i="3" s="1"/>
  <c r="E23" i="3" s="1"/>
  <c r="F23" i="3" s="1"/>
  <c r="F6" i="3" l="1"/>
  <c r="B58" i="3" s="1"/>
  <c r="A61" i="3" s="1"/>
  <c r="F1" i="4" s="1"/>
  <c r="A58" i="3"/>
  <c r="B61" i="3" s="1"/>
  <c r="F2" i="4" s="1"/>
  <c r="C38" i="4" l="1"/>
  <c r="D38" i="4" s="1"/>
  <c r="E38" i="4" s="1"/>
  <c r="F38" i="4" s="1"/>
  <c r="C27" i="4"/>
  <c r="D27" i="4" s="1"/>
  <c r="E27" i="4" s="1"/>
  <c r="F27" i="4" s="1"/>
  <c r="C16" i="4"/>
  <c r="D16" i="4" s="1"/>
  <c r="E16" i="4" s="1"/>
  <c r="F16" i="4" s="1"/>
  <c r="C33" i="4"/>
  <c r="D33" i="4" s="1"/>
  <c r="E33" i="4" s="1"/>
  <c r="F33" i="4" s="1"/>
  <c r="C49" i="4"/>
  <c r="D49" i="4" s="1"/>
  <c r="E49" i="4" s="1"/>
  <c r="F49" i="4" s="1"/>
  <c r="C21" i="4"/>
  <c r="D21" i="4" s="1"/>
  <c r="E21" i="4" s="1"/>
  <c r="F21" i="4" s="1"/>
  <c r="C41" i="4"/>
  <c r="D41" i="4" s="1"/>
  <c r="E41" i="4" s="1"/>
  <c r="F41" i="4" s="1"/>
  <c r="C32" i="4"/>
  <c r="D32" i="4" s="1"/>
  <c r="E32" i="4" s="1"/>
  <c r="F32" i="4" s="1"/>
  <c r="C52" i="4"/>
  <c r="D52" i="4" s="1"/>
  <c r="E52" i="4" s="1"/>
  <c r="F52" i="4" s="1"/>
  <c r="C43" i="4"/>
  <c r="D43" i="4" s="1"/>
  <c r="E43" i="4" s="1"/>
  <c r="F43" i="4" s="1"/>
  <c r="C55" i="4"/>
  <c r="D55" i="4" s="1"/>
  <c r="E55" i="4" s="1"/>
  <c r="F55" i="4" s="1"/>
  <c r="C54" i="4"/>
  <c r="D54" i="4" s="1"/>
  <c r="E54" i="4" s="1"/>
  <c r="F54" i="4" s="1"/>
  <c r="C10" i="4"/>
  <c r="D10" i="4" s="1"/>
  <c r="E10" i="4" s="1"/>
  <c r="F10" i="4" s="1"/>
  <c r="C12" i="4"/>
  <c r="D12" i="4" s="1"/>
  <c r="E12" i="4" s="1"/>
  <c r="F12" i="4" s="1"/>
  <c r="C25" i="4"/>
  <c r="D25" i="4" s="1"/>
  <c r="E25" i="4" s="1"/>
  <c r="F25" i="4" s="1"/>
  <c r="C36" i="4"/>
  <c r="D36" i="4" s="1"/>
  <c r="E36" i="4" s="1"/>
  <c r="F36" i="4" s="1"/>
  <c r="C34" i="4"/>
  <c r="D34" i="4" s="1"/>
  <c r="E34" i="4" s="1"/>
  <c r="F34" i="4" s="1"/>
  <c r="C47" i="4"/>
  <c r="D47" i="4" s="1"/>
  <c r="E47" i="4" s="1"/>
  <c r="F47" i="4" s="1"/>
  <c r="C45" i="4"/>
  <c r="D45" i="4" s="1"/>
  <c r="E45" i="4" s="1"/>
  <c r="F45" i="4" s="1"/>
  <c r="C18" i="4"/>
  <c r="D18" i="4" s="1"/>
  <c r="E18" i="4" s="1"/>
  <c r="F18" i="4" s="1"/>
  <c r="C13" i="4"/>
  <c r="D13" i="4" s="1"/>
  <c r="E13" i="4" s="1"/>
  <c r="F13" i="4" s="1"/>
  <c r="C7" i="4"/>
  <c r="D7" i="4" s="1"/>
  <c r="E7" i="4" s="1"/>
  <c r="F7" i="4" s="1"/>
  <c r="C40" i="4"/>
  <c r="D40" i="4" s="1"/>
  <c r="E40" i="4" s="1"/>
  <c r="F40" i="4" s="1"/>
  <c r="C11" i="4"/>
  <c r="D11" i="4" s="1"/>
  <c r="E11" i="4" s="1"/>
  <c r="F11" i="4" s="1"/>
  <c r="C51" i="4"/>
  <c r="D51" i="4" s="1"/>
  <c r="E51" i="4" s="1"/>
  <c r="F51" i="4" s="1"/>
  <c r="C22" i="4"/>
  <c r="D22" i="4" s="1"/>
  <c r="E22" i="4" s="1"/>
  <c r="F22" i="4" s="1"/>
  <c r="C20" i="4"/>
  <c r="D20" i="4" s="1"/>
  <c r="E20" i="4" s="1"/>
  <c r="F20" i="4" s="1"/>
  <c r="C14" i="4"/>
  <c r="D14" i="4" s="1"/>
  <c r="E14" i="4" s="1"/>
  <c r="F14" i="4" s="1"/>
  <c r="C23" i="4"/>
  <c r="D23" i="4" s="1"/>
  <c r="E23" i="4" s="1"/>
  <c r="F23" i="4" s="1"/>
  <c r="C29" i="4"/>
  <c r="D29" i="4" s="1"/>
  <c r="E29" i="4" s="1"/>
  <c r="F29" i="4" s="1"/>
  <c r="C24" i="4"/>
  <c r="D24" i="4" s="1"/>
  <c r="E24" i="4" s="1"/>
  <c r="F24" i="4" s="1"/>
  <c r="C6" i="4"/>
  <c r="D6" i="4" s="1"/>
  <c r="E6" i="4" s="1"/>
  <c r="C39" i="4"/>
  <c r="D39" i="4" s="1"/>
  <c r="E39" i="4" s="1"/>
  <c r="F39" i="4" s="1"/>
  <c r="C42" i="4"/>
  <c r="D42" i="4" s="1"/>
  <c r="E42" i="4" s="1"/>
  <c r="F42" i="4" s="1"/>
  <c r="C28" i="4"/>
  <c r="D28" i="4" s="1"/>
  <c r="E28" i="4" s="1"/>
  <c r="F28" i="4" s="1"/>
  <c r="C37" i="4"/>
  <c r="D37" i="4" s="1"/>
  <c r="E37" i="4" s="1"/>
  <c r="F37" i="4" s="1"/>
  <c r="C19" i="4"/>
  <c r="D19" i="4" s="1"/>
  <c r="E19" i="4" s="1"/>
  <c r="F19" i="4" s="1"/>
  <c r="C30" i="4"/>
  <c r="D30" i="4" s="1"/>
  <c r="E30" i="4" s="1"/>
  <c r="F30" i="4" s="1"/>
  <c r="C31" i="4"/>
  <c r="D31" i="4" s="1"/>
  <c r="E31" i="4" s="1"/>
  <c r="F31" i="4" s="1"/>
  <c r="C35" i="4"/>
  <c r="D35" i="4" s="1"/>
  <c r="E35" i="4" s="1"/>
  <c r="F35" i="4" s="1"/>
  <c r="C46" i="4"/>
  <c r="D46" i="4" s="1"/>
  <c r="E46" i="4" s="1"/>
  <c r="F46" i="4" s="1"/>
  <c r="C17" i="4"/>
  <c r="D17" i="4" s="1"/>
  <c r="E17" i="4" s="1"/>
  <c r="F17" i="4" s="1"/>
  <c r="C50" i="4"/>
  <c r="D50" i="4" s="1"/>
  <c r="E50" i="4" s="1"/>
  <c r="F50" i="4" s="1"/>
  <c r="C44" i="4"/>
  <c r="D44" i="4" s="1"/>
  <c r="E44" i="4" s="1"/>
  <c r="F44" i="4" s="1"/>
  <c r="C26" i="4"/>
  <c r="D26" i="4" s="1"/>
  <c r="E26" i="4" s="1"/>
  <c r="F26" i="4" s="1"/>
  <c r="C48" i="4"/>
  <c r="D48" i="4" s="1"/>
  <c r="E48" i="4" s="1"/>
  <c r="F48" i="4" s="1"/>
  <c r="C9" i="4"/>
  <c r="D9" i="4" s="1"/>
  <c r="E9" i="4" s="1"/>
  <c r="F9" i="4" s="1"/>
  <c r="C53" i="4"/>
  <c r="D53" i="4" s="1"/>
  <c r="E53" i="4" s="1"/>
  <c r="F53" i="4" s="1"/>
  <c r="C15" i="4"/>
  <c r="D15" i="4" s="1"/>
  <c r="E15" i="4" s="1"/>
  <c r="F15" i="4" s="1"/>
  <c r="C8" i="4"/>
  <c r="D8" i="4" s="1"/>
  <c r="E8" i="4" s="1"/>
  <c r="F8" i="4" s="1"/>
  <c r="A58" i="4" l="1"/>
  <c r="B61" i="4" s="1"/>
  <c r="F2" i="5" s="1"/>
  <c r="F6" i="4"/>
  <c r="B58" i="4" s="1"/>
  <c r="A61" i="4" s="1"/>
  <c r="F1" i="5" s="1"/>
  <c r="C15" i="5" l="1"/>
  <c r="D15" i="5" s="1"/>
  <c r="E15" i="5" s="1"/>
  <c r="F15" i="5" s="1"/>
  <c r="C16" i="5"/>
  <c r="D16" i="5" s="1"/>
  <c r="E16" i="5" s="1"/>
  <c r="F16" i="5" s="1"/>
  <c r="C49" i="5"/>
  <c r="D49" i="5" s="1"/>
  <c r="E49" i="5" s="1"/>
  <c r="F49" i="5" s="1"/>
  <c r="C38" i="5"/>
  <c r="D38" i="5" s="1"/>
  <c r="E38" i="5" s="1"/>
  <c r="F38" i="5" s="1"/>
  <c r="C27" i="5"/>
  <c r="D27" i="5" s="1"/>
  <c r="E27" i="5" s="1"/>
  <c r="F27" i="5" s="1"/>
  <c r="C54" i="5"/>
  <c r="D54" i="5" s="1"/>
  <c r="E54" i="5" s="1"/>
  <c r="F54" i="5" s="1"/>
  <c r="C19" i="5"/>
  <c r="D19" i="5" s="1"/>
  <c r="E19" i="5" s="1"/>
  <c r="F19" i="5" s="1"/>
  <c r="C14" i="5"/>
  <c r="D14" i="5" s="1"/>
  <c r="E14" i="5" s="1"/>
  <c r="F14" i="5" s="1"/>
  <c r="C30" i="5"/>
  <c r="D30" i="5" s="1"/>
  <c r="E30" i="5" s="1"/>
  <c r="F30" i="5" s="1"/>
  <c r="C25" i="5"/>
  <c r="D25" i="5" s="1"/>
  <c r="E25" i="5" s="1"/>
  <c r="F25" i="5" s="1"/>
  <c r="C41" i="5"/>
  <c r="D41" i="5" s="1"/>
  <c r="E41" i="5" s="1"/>
  <c r="F41" i="5" s="1"/>
  <c r="C7" i="5"/>
  <c r="D7" i="5" s="1"/>
  <c r="E7" i="5" s="1"/>
  <c r="F7" i="5" s="1"/>
  <c r="C43" i="5"/>
  <c r="D43" i="5" s="1"/>
  <c r="E43" i="5" s="1"/>
  <c r="F43" i="5" s="1"/>
  <c r="C29" i="5"/>
  <c r="D29" i="5" s="1"/>
  <c r="E29" i="5" s="1"/>
  <c r="F29" i="5" s="1"/>
  <c r="C26" i="5"/>
  <c r="D26" i="5" s="1"/>
  <c r="E26" i="5" s="1"/>
  <c r="F26" i="5" s="1"/>
  <c r="C40" i="5"/>
  <c r="D40" i="5" s="1"/>
  <c r="E40" i="5" s="1"/>
  <c r="F40" i="5" s="1"/>
  <c r="C24" i="5"/>
  <c r="D24" i="5" s="1"/>
  <c r="E24" i="5" s="1"/>
  <c r="F24" i="5" s="1"/>
  <c r="C51" i="5"/>
  <c r="D51" i="5" s="1"/>
  <c r="E51" i="5" s="1"/>
  <c r="F51" i="5" s="1"/>
  <c r="C39" i="5"/>
  <c r="D39" i="5" s="1"/>
  <c r="E39" i="5" s="1"/>
  <c r="F39" i="5" s="1"/>
  <c r="C13" i="5"/>
  <c r="D13" i="5" s="1"/>
  <c r="E13" i="5" s="1"/>
  <c r="F13" i="5" s="1"/>
  <c r="C12" i="5"/>
  <c r="D12" i="5" s="1"/>
  <c r="E12" i="5" s="1"/>
  <c r="F12" i="5" s="1"/>
  <c r="C42" i="5"/>
  <c r="D42" i="5" s="1"/>
  <c r="E42" i="5" s="1"/>
  <c r="F42" i="5" s="1"/>
  <c r="C6" i="5"/>
  <c r="D6" i="5" s="1"/>
  <c r="E6" i="5" s="1"/>
  <c r="C23" i="5"/>
  <c r="D23" i="5" s="1"/>
  <c r="E23" i="5" s="1"/>
  <c r="F23" i="5" s="1"/>
  <c r="C36" i="5"/>
  <c r="D36" i="5" s="1"/>
  <c r="E36" i="5" s="1"/>
  <c r="F36" i="5" s="1"/>
  <c r="C34" i="5"/>
  <c r="D34" i="5" s="1"/>
  <c r="E34" i="5" s="1"/>
  <c r="F34" i="5" s="1"/>
  <c r="C11" i="5"/>
  <c r="D11" i="5" s="1"/>
  <c r="E11" i="5" s="1"/>
  <c r="F11" i="5" s="1"/>
  <c r="C45" i="5"/>
  <c r="D45" i="5" s="1"/>
  <c r="E45" i="5" s="1"/>
  <c r="F45" i="5" s="1"/>
  <c r="C52" i="5"/>
  <c r="D52" i="5" s="1"/>
  <c r="E52" i="5" s="1"/>
  <c r="F52" i="5" s="1"/>
  <c r="C18" i="5"/>
  <c r="D18" i="5" s="1"/>
  <c r="E18" i="5" s="1"/>
  <c r="F18" i="5" s="1"/>
  <c r="C20" i="5"/>
  <c r="D20" i="5" s="1"/>
  <c r="E20" i="5" s="1"/>
  <c r="F20" i="5" s="1"/>
  <c r="C53" i="5"/>
  <c r="D53" i="5" s="1"/>
  <c r="E53" i="5" s="1"/>
  <c r="F53" i="5" s="1"/>
  <c r="C28" i="5"/>
  <c r="D28" i="5" s="1"/>
  <c r="E28" i="5" s="1"/>
  <c r="F28" i="5" s="1"/>
  <c r="C33" i="5"/>
  <c r="D33" i="5" s="1"/>
  <c r="E33" i="5" s="1"/>
  <c r="F33" i="5" s="1"/>
  <c r="C46" i="5"/>
  <c r="D46" i="5" s="1"/>
  <c r="E46" i="5" s="1"/>
  <c r="F46" i="5" s="1"/>
  <c r="C47" i="5"/>
  <c r="D47" i="5" s="1"/>
  <c r="E47" i="5" s="1"/>
  <c r="F47" i="5" s="1"/>
  <c r="C48" i="5"/>
  <c r="D48" i="5" s="1"/>
  <c r="E48" i="5" s="1"/>
  <c r="F48" i="5" s="1"/>
  <c r="C31" i="5"/>
  <c r="D31" i="5" s="1"/>
  <c r="E31" i="5" s="1"/>
  <c r="F31" i="5" s="1"/>
  <c r="C35" i="5"/>
  <c r="D35" i="5" s="1"/>
  <c r="E35" i="5" s="1"/>
  <c r="F35" i="5" s="1"/>
  <c r="C17" i="5"/>
  <c r="D17" i="5" s="1"/>
  <c r="E17" i="5" s="1"/>
  <c r="F17" i="5" s="1"/>
  <c r="C10" i="5"/>
  <c r="D10" i="5" s="1"/>
  <c r="E10" i="5" s="1"/>
  <c r="F10" i="5" s="1"/>
  <c r="C21" i="5"/>
  <c r="D21" i="5" s="1"/>
  <c r="E21" i="5" s="1"/>
  <c r="F21" i="5" s="1"/>
  <c r="C32" i="5"/>
  <c r="D32" i="5" s="1"/>
  <c r="E32" i="5" s="1"/>
  <c r="F32" i="5" s="1"/>
  <c r="C22" i="5"/>
  <c r="D22" i="5" s="1"/>
  <c r="E22" i="5" s="1"/>
  <c r="F22" i="5" s="1"/>
  <c r="C44" i="5"/>
  <c r="D44" i="5" s="1"/>
  <c r="E44" i="5" s="1"/>
  <c r="F44" i="5" s="1"/>
  <c r="C55" i="5"/>
  <c r="D55" i="5" s="1"/>
  <c r="E55" i="5" s="1"/>
  <c r="F55" i="5" s="1"/>
  <c r="C8" i="5"/>
  <c r="D8" i="5" s="1"/>
  <c r="E8" i="5" s="1"/>
  <c r="F8" i="5" s="1"/>
  <c r="C9" i="5"/>
  <c r="D9" i="5" s="1"/>
  <c r="E9" i="5" s="1"/>
  <c r="F9" i="5" s="1"/>
  <c r="C37" i="5"/>
  <c r="D37" i="5" s="1"/>
  <c r="E37" i="5" s="1"/>
  <c r="F37" i="5" s="1"/>
  <c r="C50" i="5"/>
  <c r="D50" i="5" s="1"/>
  <c r="E50" i="5" s="1"/>
  <c r="F50" i="5" s="1"/>
  <c r="A58" i="5" l="1"/>
  <c r="B61" i="5" s="1"/>
  <c r="F2" i="6" s="1"/>
  <c r="F6" i="5"/>
  <c r="B58" i="5" s="1"/>
  <c r="A61" i="5" s="1"/>
  <c r="F1" i="6" s="1"/>
  <c r="C41" i="6" l="1"/>
  <c r="D41" i="6" s="1"/>
  <c r="C38" i="6"/>
  <c r="D38" i="6" s="1"/>
  <c r="C16" i="6"/>
  <c r="D16" i="6" s="1"/>
  <c r="C49" i="6"/>
  <c r="D49" i="6" s="1"/>
  <c r="C27" i="6"/>
  <c r="D27" i="6" s="1"/>
  <c r="C10" i="6"/>
  <c r="D10" i="6" s="1"/>
  <c r="C21" i="6"/>
  <c r="D21" i="6" s="1"/>
  <c r="C48" i="6"/>
  <c r="D48" i="6" s="1"/>
  <c r="C32" i="6"/>
  <c r="D32" i="6" s="1"/>
  <c r="C8" i="6"/>
  <c r="D8" i="6" s="1"/>
  <c r="C54" i="6"/>
  <c r="D54" i="6" s="1"/>
  <c r="C25" i="6"/>
  <c r="D25" i="6" s="1"/>
  <c r="C47" i="6"/>
  <c r="D47" i="6" s="1"/>
  <c r="C50" i="6"/>
  <c r="D50" i="6" s="1"/>
  <c r="C43" i="6"/>
  <c r="D43" i="6" s="1"/>
  <c r="C18" i="6"/>
  <c r="D18" i="6" s="1"/>
  <c r="C12" i="6"/>
  <c r="D12" i="6" s="1"/>
  <c r="C29" i="6"/>
  <c r="D29" i="6" s="1"/>
  <c r="C23" i="6"/>
  <c r="D23" i="6" s="1"/>
  <c r="C40" i="6"/>
  <c r="D40" i="6" s="1"/>
  <c r="C34" i="6"/>
  <c r="D34" i="6" s="1"/>
  <c r="C35" i="6"/>
  <c r="D35" i="6" s="1"/>
  <c r="C42" i="6"/>
  <c r="D42" i="6" s="1"/>
  <c r="C51" i="6"/>
  <c r="D51" i="6" s="1"/>
  <c r="C39" i="6"/>
  <c r="D39" i="6" s="1"/>
  <c r="C19" i="6"/>
  <c r="D19" i="6" s="1"/>
  <c r="C30" i="6"/>
  <c r="D30" i="6" s="1"/>
  <c r="C36" i="6"/>
  <c r="D36" i="6" s="1"/>
  <c r="C52" i="6"/>
  <c r="D52" i="6" s="1"/>
  <c r="C7" i="6"/>
  <c r="D7" i="6" s="1"/>
  <c r="C45" i="6"/>
  <c r="D45" i="6" s="1"/>
  <c r="C53" i="6"/>
  <c r="D53" i="6" s="1"/>
  <c r="C9" i="6"/>
  <c r="D9" i="6" s="1"/>
  <c r="C20" i="6"/>
  <c r="D20" i="6" s="1"/>
  <c r="C24" i="6"/>
  <c r="D24" i="6" s="1"/>
  <c r="C17" i="6"/>
  <c r="D17" i="6" s="1"/>
  <c r="C28" i="6"/>
  <c r="D28" i="6" s="1"/>
  <c r="C46" i="6"/>
  <c r="D46" i="6" s="1"/>
  <c r="C33" i="6"/>
  <c r="D33" i="6" s="1"/>
  <c r="C44" i="6"/>
  <c r="D44" i="6" s="1"/>
  <c r="C15" i="6"/>
  <c r="D15" i="6" s="1"/>
  <c r="C26" i="6"/>
  <c r="D26" i="6" s="1"/>
  <c r="C37" i="6"/>
  <c r="D37" i="6" s="1"/>
  <c r="C31" i="6"/>
  <c r="D31" i="6" s="1"/>
  <c r="C13" i="6"/>
  <c r="D13" i="6" s="1"/>
  <c r="C6" i="6"/>
  <c r="D6" i="6" s="1"/>
  <c r="C14" i="6"/>
  <c r="D14" i="6" s="1"/>
  <c r="C55" i="6"/>
  <c r="D55" i="6" s="1"/>
  <c r="C11" i="6"/>
  <c r="D11" i="6" s="1"/>
  <c r="C22" i="6"/>
  <c r="D22" i="6" s="1"/>
  <c r="E26" i="6" l="1"/>
  <c r="F26" i="6" s="1"/>
  <c r="H26" i="6"/>
  <c r="I26" i="6" s="1"/>
  <c r="E35" i="6"/>
  <c r="F35" i="6" s="1"/>
  <c r="H35" i="6"/>
  <c r="I35" i="6" s="1"/>
  <c r="E37" i="6"/>
  <c r="F37" i="6" s="1"/>
  <c r="H37" i="6"/>
  <c r="I37" i="6" s="1"/>
  <c r="E15" i="6"/>
  <c r="F15" i="6" s="1"/>
  <c r="H15" i="6"/>
  <c r="I15" i="6" s="1"/>
  <c r="E44" i="6"/>
  <c r="F44" i="6" s="1"/>
  <c r="H44" i="6"/>
  <c r="I44" i="6" s="1"/>
  <c r="E33" i="6"/>
  <c r="F33" i="6" s="1"/>
  <c r="H33" i="6"/>
  <c r="I33" i="6" s="1"/>
  <c r="E46" i="6"/>
  <c r="F46" i="6" s="1"/>
  <c r="H46" i="6"/>
  <c r="I46" i="6" s="1"/>
  <c r="E28" i="6"/>
  <c r="F28" i="6" s="1"/>
  <c r="H28" i="6"/>
  <c r="I28" i="6" s="1"/>
  <c r="E43" i="6"/>
  <c r="F43" i="6" s="1"/>
  <c r="H43" i="6"/>
  <c r="I43" i="6" s="1"/>
  <c r="E50" i="6"/>
  <c r="F50" i="6" s="1"/>
  <c r="H50" i="6"/>
  <c r="I50" i="6" s="1"/>
  <c r="E20" i="6"/>
  <c r="F20" i="6" s="1"/>
  <c r="H20" i="6"/>
  <c r="I20" i="6" s="1"/>
  <c r="E9" i="6"/>
  <c r="F9" i="6" s="1"/>
  <c r="H9" i="6"/>
  <c r="I9" i="6" s="1"/>
  <c r="E53" i="6"/>
  <c r="F53" i="6" s="1"/>
  <c r="H53" i="6"/>
  <c r="I53" i="6" s="1"/>
  <c r="E45" i="6"/>
  <c r="F45" i="6" s="1"/>
  <c r="H45" i="6"/>
  <c r="I45" i="6" s="1"/>
  <c r="E7" i="6"/>
  <c r="F7" i="6" s="1"/>
  <c r="H7" i="6"/>
  <c r="I7" i="6" s="1"/>
  <c r="E21" i="6"/>
  <c r="F21" i="6" s="1"/>
  <c r="H21" i="6"/>
  <c r="I21" i="6" s="1"/>
  <c r="E36" i="6"/>
  <c r="F36" i="6" s="1"/>
  <c r="H36" i="6"/>
  <c r="I36" i="6" s="1"/>
  <c r="E27" i="6"/>
  <c r="F27" i="6" s="1"/>
  <c r="H27" i="6"/>
  <c r="I27" i="6" s="1"/>
  <c r="E38" i="6"/>
  <c r="F38" i="6" s="1"/>
  <c r="H38" i="6"/>
  <c r="I38" i="6" s="1"/>
  <c r="E31" i="6"/>
  <c r="F31" i="6" s="1"/>
  <c r="H31" i="6"/>
  <c r="I31" i="6" s="1"/>
  <c r="E34" i="6"/>
  <c r="F34" i="6" s="1"/>
  <c r="H34" i="6"/>
  <c r="I34" i="6" s="1"/>
  <c r="E40" i="6"/>
  <c r="F40" i="6" s="1"/>
  <c r="H40" i="6"/>
  <c r="I40" i="6" s="1"/>
  <c r="E23" i="6"/>
  <c r="F23" i="6" s="1"/>
  <c r="H23" i="6"/>
  <c r="I23" i="6" s="1"/>
  <c r="E29" i="6"/>
  <c r="F29" i="6" s="1"/>
  <c r="H29" i="6"/>
  <c r="I29" i="6" s="1"/>
  <c r="E12" i="6"/>
  <c r="F12" i="6" s="1"/>
  <c r="H12" i="6"/>
  <c r="I12" i="6" s="1"/>
  <c r="E18" i="6"/>
  <c r="F18" i="6" s="1"/>
  <c r="H18" i="6"/>
  <c r="I18" i="6" s="1"/>
  <c r="E17" i="6"/>
  <c r="F17" i="6" s="1"/>
  <c r="H17" i="6"/>
  <c r="I17" i="6" s="1"/>
  <c r="E24" i="6"/>
  <c r="F24" i="6" s="1"/>
  <c r="H24" i="6"/>
  <c r="I24" i="6" s="1"/>
  <c r="E47" i="6"/>
  <c r="F47" i="6" s="1"/>
  <c r="H47" i="6"/>
  <c r="I47" i="6" s="1"/>
  <c r="E25" i="6"/>
  <c r="F25" i="6" s="1"/>
  <c r="H25" i="6"/>
  <c r="I25" i="6" s="1"/>
  <c r="E54" i="6"/>
  <c r="F54" i="6" s="1"/>
  <c r="H54" i="6"/>
  <c r="I54" i="6" s="1"/>
  <c r="E8" i="6"/>
  <c r="F8" i="6" s="1"/>
  <c r="H8" i="6"/>
  <c r="I8" i="6" s="1"/>
  <c r="E32" i="6"/>
  <c r="F32" i="6" s="1"/>
  <c r="H32" i="6"/>
  <c r="I32" i="6" s="1"/>
  <c r="E48" i="6"/>
  <c r="F48" i="6" s="1"/>
  <c r="H48" i="6"/>
  <c r="I48" i="6" s="1"/>
  <c r="E52" i="6"/>
  <c r="F52" i="6" s="1"/>
  <c r="H52" i="6"/>
  <c r="I52" i="6" s="1"/>
  <c r="E22" i="6"/>
  <c r="F22" i="6" s="1"/>
  <c r="H22" i="6"/>
  <c r="I22" i="6" s="1"/>
  <c r="E10" i="6"/>
  <c r="F10" i="6" s="1"/>
  <c r="H10" i="6"/>
  <c r="I10" i="6" s="1"/>
  <c r="E11" i="6"/>
  <c r="F11" i="6" s="1"/>
  <c r="H11" i="6"/>
  <c r="I11" i="6" s="1"/>
  <c r="E30" i="6"/>
  <c r="F30" i="6" s="1"/>
  <c r="H30" i="6"/>
  <c r="I30" i="6" s="1"/>
  <c r="E55" i="6"/>
  <c r="F55" i="6" s="1"/>
  <c r="H55" i="6"/>
  <c r="I55" i="6" s="1"/>
  <c r="E19" i="6"/>
  <c r="F19" i="6" s="1"/>
  <c r="H19" i="6"/>
  <c r="I19" i="6" s="1"/>
  <c r="E49" i="6"/>
  <c r="F49" i="6" s="1"/>
  <c r="H49" i="6"/>
  <c r="I49" i="6" s="1"/>
  <c r="E14" i="6"/>
  <c r="F14" i="6" s="1"/>
  <c r="H14" i="6"/>
  <c r="I14" i="6" s="1"/>
  <c r="E39" i="6"/>
  <c r="F39" i="6" s="1"/>
  <c r="H39" i="6"/>
  <c r="I39" i="6" s="1"/>
  <c r="E16" i="6"/>
  <c r="F16" i="6" s="1"/>
  <c r="H16" i="6"/>
  <c r="I16" i="6" s="1"/>
  <c r="E6" i="6"/>
  <c r="H6" i="6"/>
  <c r="E51" i="6"/>
  <c r="F51" i="6" s="1"/>
  <c r="H51" i="6"/>
  <c r="I51" i="6" s="1"/>
  <c r="E13" i="6"/>
  <c r="F13" i="6" s="1"/>
  <c r="H13" i="6"/>
  <c r="I13" i="6" s="1"/>
  <c r="E42" i="6"/>
  <c r="F42" i="6" s="1"/>
  <c r="H42" i="6"/>
  <c r="I42" i="6" s="1"/>
  <c r="E41" i="6"/>
  <c r="F41" i="6" s="1"/>
  <c r="H41" i="6"/>
  <c r="I41" i="6" s="1"/>
  <c r="I6" i="6" l="1"/>
  <c r="A58" i="6"/>
  <c r="B61" i="6" s="1"/>
  <c r="F6" i="6"/>
  <c r="B58" i="6" s="1"/>
  <c r="A61" i="6" s="1"/>
</calcChain>
</file>

<file path=xl/sharedStrings.xml><?xml version="1.0" encoding="utf-8"?>
<sst xmlns="http://schemas.openxmlformats.org/spreadsheetml/2006/main" count="67" uniqueCount="19">
  <si>
    <t>studytime</t>
  </si>
  <si>
    <t>G3</t>
  </si>
  <si>
    <t>Y</t>
  </si>
  <si>
    <t>W</t>
  </si>
  <si>
    <t>b</t>
  </si>
  <si>
    <t>alpha</t>
  </si>
  <si>
    <t>x</t>
  </si>
  <si>
    <t>y</t>
  </si>
  <si>
    <t>z</t>
  </si>
  <si>
    <t>Error</t>
  </si>
  <si>
    <t>Error x X</t>
  </si>
  <si>
    <t>grad_b</t>
  </si>
  <si>
    <t>grad_w</t>
  </si>
  <si>
    <t>w₁</t>
  </si>
  <si>
    <t>b₁</t>
  </si>
  <si>
    <t>Prediksi</t>
  </si>
  <si>
    <t>Benar</t>
  </si>
  <si>
    <t>Akurasi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</si>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</sst>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7CFFD"/>
        <bgColor indexed="64"/>
      </patternFill>
    </fill>
    <fill>
      <patternFill patternType="solid">
        <fgColor rgb="FF9BE8FD"/>
        <bgColor indexed="64"/>
      </patternFill>
    </fill>
    <fill>
      <patternFill patternType="solid">
        <fgColor rgb="FF00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/>
    </xf>
    <xf numFmtId="0" fontId="20" fillId="34" borderId="0" xfId="0" applyFont="1" applyFill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/>
    </xf>
    <xf numFmtId="0" fontId="20" fillId="36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/>
    </xf>
    <xf numFmtId="0" fontId="20" fillId="37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/>
    </xf>
    <xf numFmtId="0" fontId="20" fillId="38" borderId="0" xfId="0" applyFont="1" applyFill="1" applyAlignment="1">
      <alignment horizontal="center" vertical="center"/>
    </xf>
    <xf numFmtId="0" fontId="18" fillId="38" borderId="0" xfId="0" applyFont="1" applyFill="1" applyAlignment="1">
      <alignment horizontal="center"/>
    </xf>
    <xf numFmtId="0" fontId="20" fillId="39" borderId="0" xfId="0" applyFont="1" applyFill="1" applyAlignment="1">
      <alignment horizontal="center"/>
    </xf>
    <xf numFmtId="0" fontId="18" fillId="39" borderId="0" xfId="0" applyFont="1" applyFill="1" applyAlignment="1">
      <alignment horizontal="center"/>
    </xf>
    <xf numFmtId="0" fontId="20" fillId="40" borderId="0" xfId="0" applyFont="1" applyFill="1" applyAlignment="1">
      <alignment horizontal="center"/>
    </xf>
    <xf numFmtId="0" fontId="18" fillId="40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0" fontId="0" fillId="41" borderId="0" xfId="0" applyFill="1"/>
    <xf numFmtId="0" fontId="20" fillId="41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FFCC"/>
      <color rgb="FFD7CFFD"/>
      <color rgb="FF9BE8FD"/>
      <color rgb="FFEFB7E4"/>
      <color rgb="FFC2E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9A98C486-7CA8-0467-5B7C-3C4BD0104369}"/>
                </a:ext>
              </a:extLst>
            </xdr:cNvPr>
            <xdr:cNvSpPr txBox="1"/>
          </xdr:nvSpPr>
          <xdr:spPr>
            <a:xfrm>
              <a:off x="3516630" y="82867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9A98C486-7CA8-0467-5B7C-3C4BD0104369}"/>
                </a:ext>
              </a:extLst>
            </xdr:cNvPr>
            <xdr:cNvSpPr txBox="1"/>
          </xdr:nvSpPr>
          <xdr:spPr>
            <a:xfrm>
              <a:off x="3516630" y="82867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2D7229CB-3C0B-47D7-94C8-3AB2415CB355}"/>
                </a:ext>
              </a:extLst>
            </xdr:cNvPr>
            <xdr:cNvSpPr txBox="1"/>
          </xdr:nvSpPr>
          <xdr:spPr>
            <a:xfrm>
              <a:off x="3516630" y="71247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2D7229CB-3C0B-47D7-94C8-3AB2415CB355}"/>
                </a:ext>
              </a:extLst>
            </xdr:cNvPr>
            <xdr:cNvSpPr txBox="1"/>
          </xdr:nvSpPr>
          <xdr:spPr>
            <a:xfrm>
              <a:off x="3516630" y="71247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C71ACF8B-07B0-45DA-B39A-B0E863730B70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C71ACF8B-07B0-45DA-B39A-B0E863730B70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12916DDC-8999-48FF-9188-C801388987D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12916DDC-8999-48FF-9188-C801388987D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5E77EBD4-0206-4C5A-B12A-0C8F7F46938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5E77EBD4-0206-4C5A-B12A-0C8F7F46938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FF3C-EF89-4E21-A5FA-D96EBCB17334}">
  <dimension ref="A1:E51"/>
  <sheetViews>
    <sheetView topLeftCell="A6" workbookViewId="0">
      <selection activeCell="C24" sqref="C24"/>
    </sheetView>
  </sheetViews>
  <sheetFormatPr defaultColWidth="13.44140625" defaultRowHeight="15.6" x14ac:dyDescent="0.3"/>
  <cols>
    <col min="1" max="16384" width="13.44140625" style="2"/>
  </cols>
  <sheetData>
    <row r="1" spans="1:5" x14ac:dyDescent="0.3">
      <c r="A1" s="24" t="s">
        <v>0</v>
      </c>
      <c r="B1" s="24" t="s">
        <v>1</v>
      </c>
      <c r="C1" s="24" t="s">
        <v>2</v>
      </c>
      <c r="E1" s="2" t="s">
        <v>18</v>
      </c>
    </row>
    <row r="2" spans="1:5" x14ac:dyDescent="0.3">
      <c r="A2" s="23">
        <v>2</v>
      </c>
      <c r="B2" s="23">
        <v>6</v>
      </c>
      <c r="C2" s="23">
        <v>0</v>
      </c>
      <c r="E2" s="2">
        <v>1</v>
      </c>
    </row>
    <row r="3" spans="1:5" x14ac:dyDescent="0.3">
      <c r="A3" s="23">
        <v>2</v>
      </c>
      <c r="B3" s="23">
        <v>6</v>
      </c>
      <c r="C3" s="23">
        <v>0</v>
      </c>
      <c r="E3" s="2">
        <v>2</v>
      </c>
    </row>
    <row r="4" spans="1:5" x14ac:dyDescent="0.3">
      <c r="A4" s="23">
        <v>2</v>
      </c>
      <c r="B4" s="23">
        <v>10</v>
      </c>
      <c r="C4" s="23">
        <v>1</v>
      </c>
      <c r="E4" s="2">
        <v>3</v>
      </c>
    </row>
    <row r="5" spans="1:5" x14ac:dyDescent="0.3">
      <c r="A5" s="23">
        <v>3</v>
      </c>
      <c r="B5" s="23">
        <v>15</v>
      </c>
      <c r="C5" s="23">
        <v>1</v>
      </c>
      <c r="E5" s="2">
        <v>4</v>
      </c>
    </row>
    <row r="6" spans="1:5" x14ac:dyDescent="0.3">
      <c r="A6" s="23">
        <v>2</v>
      </c>
      <c r="B6" s="23">
        <v>10</v>
      </c>
      <c r="C6" s="23">
        <v>1</v>
      </c>
      <c r="E6" s="2">
        <v>5</v>
      </c>
    </row>
    <row r="7" spans="1:5" x14ac:dyDescent="0.3">
      <c r="A7" s="23">
        <v>2</v>
      </c>
      <c r="B7" s="23">
        <v>15</v>
      </c>
      <c r="C7" s="23">
        <v>1</v>
      </c>
      <c r="E7" s="2">
        <v>6</v>
      </c>
    </row>
    <row r="8" spans="1:5" x14ac:dyDescent="0.3">
      <c r="A8" s="23">
        <v>2</v>
      </c>
      <c r="B8" s="23">
        <v>11</v>
      </c>
      <c r="C8" s="23">
        <v>1</v>
      </c>
      <c r="E8" s="2">
        <v>7</v>
      </c>
    </row>
    <row r="9" spans="1:5" x14ac:dyDescent="0.3">
      <c r="A9" s="23">
        <v>2</v>
      </c>
      <c r="B9" s="23">
        <v>6</v>
      </c>
      <c r="C9" s="23">
        <v>0</v>
      </c>
      <c r="E9" s="2">
        <v>8</v>
      </c>
    </row>
    <row r="10" spans="1:5" x14ac:dyDescent="0.3">
      <c r="A10" s="23">
        <v>2</v>
      </c>
      <c r="B10" s="23">
        <v>19</v>
      </c>
      <c r="C10" s="23">
        <v>1</v>
      </c>
      <c r="E10" s="2">
        <v>9</v>
      </c>
    </row>
    <row r="11" spans="1:5" x14ac:dyDescent="0.3">
      <c r="A11" s="23">
        <v>2</v>
      </c>
      <c r="B11" s="23">
        <v>15</v>
      </c>
      <c r="C11" s="23">
        <v>1</v>
      </c>
      <c r="E11" s="2">
        <v>10</v>
      </c>
    </row>
    <row r="12" spans="1:5" x14ac:dyDescent="0.3">
      <c r="A12" s="23">
        <v>2</v>
      </c>
      <c r="B12" s="23">
        <v>9</v>
      </c>
      <c r="C12" s="23">
        <v>0</v>
      </c>
      <c r="E12" s="2">
        <v>11</v>
      </c>
    </row>
    <row r="13" spans="1:5" x14ac:dyDescent="0.3">
      <c r="A13" s="23">
        <v>3</v>
      </c>
      <c r="B13" s="23">
        <v>12</v>
      </c>
      <c r="C13" s="23">
        <v>1</v>
      </c>
      <c r="E13" s="2">
        <v>12</v>
      </c>
    </row>
    <row r="14" spans="1:5" x14ac:dyDescent="0.3">
      <c r="A14" s="23">
        <v>1</v>
      </c>
      <c r="B14" s="23">
        <v>14</v>
      </c>
      <c r="C14" s="23">
        <v>1</v>
      </c>
      <c r="E14" s="2">
        <v>13</v>
      </c>
    </row>
    <row r="15" spans="1:5" x14ac:dyDescent="0.3">
      <c r="A15" s="23">
        <v>2</v>
      </c>
      <c r="B15" s="23">
        <v>11</v>
      </c>
      <c r="C15" s="23">
        <v>1</v>
      </c>
      <c r="E15" s="2">
        <v>14</v>
      </c>
    </row>
    <row r="16" spans="1:5" x14ac:dyDescent="0.3">
      <c r="A16" s="23">
        <v>3</v>
      </c>
      <c r="B16" s="23">
        <v>16</v>
      </c>
      <c r="C16" s="23">
        <v>1</v>
      </c>
      <c r="E16" s="2">
        <v>15</v>
      </c>
    </row>
    <row r="17" spans="1:5" x14ac:dyDescent="0.3">
      <c r="A17" s="23">
        <v>1</v>
      </c>
      <c r="B17" s="23">
        <v>14</v>
      </c>
      <c r="C17" s="23">
        <v>1</v>
      </c>
      <c r="E17" s="2">
        <v>16</v>
      </c>
    </row>
    <row r="18" spans="1:5" x14ac:dyDescent="0.3">
      <c r="A18" s="23">
        <v>3</v>
      </c>
      <c r="B18" s="23">
        <v>14</v>
      </c>
      <c r="C18" s="23">
        <v>1</v>
      </c>
      <c r="E18" s="2">
        <v>17</v>
      </c>
    </row>
    <row r="19" spans="1:5" x14ac:dyDescent="0.3">
      <c r="A19" s="23">
        <v>2</v>
      </c>
      <c r="B19" s="23">
        <v>10</v>
      </c>
      <c r="C19" s="23">
        <v>1</v>
      </c>
      <c r="E19" s="2">
        <v>18</v>
      </c>
    </row>
    <row r="20" spans="1:5" x14ac:dyDescent="0.3">
      <c r="A20" s="23">
        <v>1</v>
      </c>
      <c r="B20" s="23">
        <v>5</v>
      </c>
      <c r="C20" s="23">
        <v>0</v>
      </c>
      <c r="E20" s="2">
        <v>19</v>
      </c>
    </row>
    <row r="21" spans="1:5" x14ac:dyDescent="0.3">
      <c r="A21" s="23">
        <v>1</v>
      </c>
      <c r="B21" s="23">
        <v>10</v>
      </c>
      <c r="C21" s="23">
        <v>1</v>
      </c>
      <c r="E21" s="2">
        <v>20</v>
      </c>
    </row>
    <row r="22" spans="1:5" x14ac:dyDescent="0.3">
      <c r="A22" s="23">
        <v>2</v>
      </c>
      <c r="B22" s="23">
        <v>15</v>
      </c>
      <c r="C22" s="23">
        <v>1</v>
      </c>
      <c r="E22" s="2">
        <v>21</v>
      </c>
    </row>
    <row r="23" spans="1:5" x14ac:dyDescent="0.3">
      <c r="A23" s="23">
        <v>1</v>
      </c>
      <c r="B23" s="23">
        <v>15</v>
      </c>
      <c r="C23" s="23">
        <v>1</v>
      </c>
      <c r="E23" s="2">
        <v>22</v>
      </c>
    </row>
    <row r="24" spans="1:5" x14ac:dyDescent="0.3">
      <c r="A24" s="23">
        <v>2</v>
      </c>
      <c r="B24" s="23">
        <v>16</v>
      </c>
      <c r="C24" s="23">
        <v>1</v>
      </c>
      <c r="E24" s="2">
        <v>23</v>
      </c>
    </row>
    <row r="25" spans="1:5" x14ac:dyDescent="0.3">
      <c r="A25" s="23">
        <v>2</v>
      </c>
      <c r="B25" s="23">
        <v>12</v>
      </c>
      <c r="C25" s="23">
        <v>1</v>
      </c>
      <c r="E25" s="2">
        <v>24</v>
      </c>
    </row>
    <row r="26" spans="1:5" x14ac:dyDescent="0.3">
      <c r="A26" s="23">
        <v>3</v>
      </c>
      <c r="B26" s="23">
        <v>8</v>
      </c>
      <c r="C26" s="23">
        <v>0</v>
      </c>
      <c r="E26" s="2">
        <v>25</v>
      </c>
    </row>
    <row r="27" spans="1:5" x14ac:dyDescent="0.3">
      <c r="A27" s="23">
        <v>1</v>
      </c>
      <c r="B27" s="23">
        <v>8</v>
      </c>
      <c r="C27" s="23">
        <v>0</v>
      </c>
      <c r="E27" s="2">
        <v>26</v>
      </c>
    </row>
    <row r="28" spans="1:5" x14ac:dyDescent="0.3">
      <c r="A28" s="23">
        <v>1</v>
      </c>
      <c r="B28" s="23">
        <v>11</v>
      </c>
      <c r="C28" s="23">
        <v>1</v>
      </c>
      <c r="E28" s="2">
        <v>27</v>
      </c>
    </row>
    <row r="29" spans="1:5" x14ac:dyDescent="0.3">
      <c r="A29" s="23">
        <v>1</v>
      </c>
      <c r="B29" s="23">
        <v>15</v>
      </c>
      <c r="C29" s="23">
        <v>1</v>
      </c>
      <c r="E29" s="2">
        <v>28</v>
      </c>
    </row>
    <row r="30" spans="1:5" x14ac:dyDescent="0.3">
      <c r="A30" s="23">
        <v>2</v>
      </c>
      <c r="B30" s="23">
        <v>11</v>
      </c>
      <c r="C30" s="23">
        <v>1</v>
      </c>
      <c r="E30" s="2">
        <v>29</v>
      </c>
    </row>
    <row r="31" spans="1:5" x14ac:dyDescent="0.3">
      <c r="A31" s="23">
        <v>2</v>
      </c>
      <c r="B31" s="23">
        <v>11</v>
      </c>
      <c r="C31" s="23">
        <v>1</v>
      </c>
      <c r="E31" s="2">
        <v>30</v>
      </c>
    </row>
    <row r="32" spans="1:5" x14ac:dyDescent="0.3">
      <c r="A32" s="23">
        <v>2</v>
      </c>
      <c r="B32" s="23">
        <v>12</v>
      </c>
      <c r="C32" s="23">
        <v>1</v>
      </c>
      <c r="E32" s="2">
        <v>31</v>
      </c>
    </row>
    <row r="33" spans="1:5" x14ac:dyDescent="0.3">
      <c r="A33" s="23">
        <v>2</v>
      </c>
      <c r="B33" s="23">
        <v>17</v>
      </c>
      <c r="C33" s="23">
        <v>1</v>
      </c>
      <c r="E33" s="2">
        <v>32</v>
      </c>
    </row>
    <row r="34" spans="1:5" x14ac:dyDescent="0.3">
      <c r="A34" s="23">
        <v>2</v>
      </c>
      <c r="B34" s="23">
        <v>16</v>
      </c>
      <c r="C34" s="23">
        <v>1</v>
      </c>
      <c r="E34" s="2">
        <v>33</v>
      </c>
    </row>
    <row r="35" spans="1:5" x14ac:dyDescent="0.3">
      <c r="A35" s="23">
        <v>2</v>
      </c>
      <c r="B35" s="23">
        <v>12</v>
      </c>
      <c r="C35" s="23">
        <v>1</v>
      </c>
      <c r="E35" s="2">
        <v>34</v>
      </c>
    </row>
    <row r="36" spans="1:5" x14ac:dyDescent="0.3">
      <c r="A36" s="23">
        <v>1</v>
      </c>
      <c r="B36" s="23">
        <v>15</v>
      </c>
      <c r="C36" s="23">
        <v>1</v>
      </c>
      <c r="E36" s="2">
        <v>35</v>
      </c>
    </row>
    <row r="37" spans="1:5" x14ac:dyDescent="0.3">
      <c r="A37" s="23">
        <v>1</v>
      </c>
      <c r="B37" s="23">
        <v>6</v>
      </c>
      <c r="C37" s="23">
        <v>0</v>
      </c>
      <c r="E37" s="2">
        <v>36</v>
      </c>
    </row>
    <row r="38" spans="1:5" x14ac:dyDescent="0.3">
      <c r="A38" s="23">
        <v>3</v>
      </c>
      <c r="B38" s="23">
        <v>18</v>
      </c>
      <c r="C38" s="23">
        <v>1</v>
      </c>
      <c r="E38" s="2">
        <v>37</v>
      </c>
    </row>
    <row r="39" spans="1:5" x14ac:dyDescent="0.3">
      <c r="A39" s="23">
        <v>3</v>
      </c>
      <c r="B39" s="23">
        <v>15</v>
      </c>
      <c r="C39" s="23">
        <v>1</v>
      </c>
      <c r="E39" s="2">
        <v>38</v>
      </c>
    </row>
    <row r="40" spans="1:5" x14ac:dyDescent="0.3">
      <c r="A40" s="23">
        <v>3</v>
      </c>
      <c r="B40" s="23">
        <v>11</v>
      </c>
      <c r="C40" s="23">
        <v>1</v>
      </c>
      <c r="E40" s="2">
        <v>39</v>
      </c>
    </row>
    <row r="41" spans="1:5" x14ac:dyDescent="0.3">
      <c r="A41" s="23">
        <v>1</v>
      </c>
      <c r="B41" s="23">
        <v>13</v>
      </c>
      <c r="C41" s="23">
        <v>1</v>
      </c>
      <c r="E41" s="2">
        <v>40</v>
      </c>
    </row>
    <row r="42" spans="1:5" x14ac:dyDescent="0.3">
      <c r="A42" s="23">
        <v>2</v>
      </c>
      <c r="B42" s="23">
        <v>11</v>
      </c>
      <c r="C42" s="23">
        <v>1</v>
      </c>
      <c r="E42" s="2">
        <v>41</v>
      </c>
    </row>
    <row r="43" spans="1:5" x14ac:dyDescent="0.3">
      <c r="A43" s="23">
        <v>1</v>
      </c>
      <c r="B43" s="23">
        <v>12</v>
      </c>
      <c r="C43" s="23">
        <v>1</v>
      </c>
      <c r="E43" s="2">
        <v>42</v>
      </c>
    </row>
    <row r="44" spans="1:5" x14ac:dyDescent="0.3">
      <c r="A44" s="23">
        <v>2</v>
      </c>
      <c r="B44" s="23">
        <v>18</v>
      </c>
      <c r="C44" s="23">
        <v>1</v>
      </c>
      <c r="E44" s="2">
        <v>43</v>
      </c>
    </row>
    <row r="45" spans="1:5" x14ac:dyDescent="0.3">
      <c r="A45" s="23">
        <v>1</v>
      </c>
      <c r="B45" s="23">
        <v>11</v>
      </c>
      <c r="C45" s="23">
        <v>1</v>
      </c>
      <c r="E45" s="2">
        <v>44</v>
      </c>
    </row>
    <row r="46" spans="1:5" x14ac:dyDescent="0.3">
      <c r="A46" s="23">
        <v>2</v>
      </c>
      <c r="B46" s="23">
        <v>9</v>
      </c>
      <c r="C46" s="23">
        <v>0</v>
      </c>
      <c r="E46" s="2">
        <v>45</v>
      </c>
    </row>
    <row r="47" spans="1:5" x14ac:dyDescent="0.3">
      <c r="A47" s="23">
        <v>2</v>
      </c>
      <c r="B47" s="23">
        <v>6</v>
      </c>
      <c r="C47" s="23">
        <v>0</v>
      </c>
      <c r="E47" s="2">
        <v>46</v>
      </c>
    </row>
    <row r="48" spans="1:5" x14ac:dyDescent="0.3">
      <c r="A48" s="23">
        <v>2</v>
      </c>
      <c r="B48" s="23">
        <v>11</v>
      </c>
      <c r="C48" s="23">
        <v>1</v>
      </c>
      <c r="E48" s="2">
        <v>47</v>
      </c>
    </row>
    <row r="49" spans="1:5" x14ac:dyDescent="0.3">
      <c r="A49" s="23">
        <v>4</v>
      </c>
      <c r="B49" s="23">
        <v>20</v>
      </c>
      <c r="C49" s="23">
        <v>1</v>
      </c>
      <c r="E49" s="2">
        <v>48</v>
      </c>
    </row>
    <row r="50" spans="1:5" x14ac:dyDescent="0.3">
      <c r="A50" s="23">
        <v>2</v>
      </c>
      <c r="B50" s="23">
        <v>14</v>
      </c>
      <c r="C50" s="23">
        <v>1</v>
      </c>
      <c r="E50" s="2">
        <v>49</v>
      </c>
    </row>
    <row r="51" spans="1:5" x14ac:dyDescent="0.3">
      <c r="A51" s="25">
        <v>2</v>
      </c>
      <c r="B51" s="25">
        <v>14</v>
      </c>
      <c r="C51" s="25">
        <v>1</v>
      </c>
      <c r="E51" s="2">
        <v>50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6FD4-B188-4C18-AAB2-9CAE170A7A88}">
  <dimension ref="A1:F61"/>
  <sheetViews>
    <sheetView topLeftCell="A53" zoomScale="145" zoomScaleNormal="145" workbookViewId="0">
      <selection activeCell="D64" sqref="D64"/>
    </sheetView>
  </sheetViews>
  <sheetFormatPr defaultColWidth="14.88671875" defaultRowHeight="13.8" x14ac:dyDescent="0.3"/>
  <cols>
    <col min="1" max="16384" width="14.88671875" style="1"/>
  </cols>
  <sheetData>
    <row r="1" spans="1:6" x14ac:dyDescent="0.3">
      <c r="E1" s="19" t="s">
        <v>3</v>
      </c>
      <c r="F1" s="3">
        <v>0.1</v>
      </c>
    </row>
    <row r="2" spans="1:6" x14ac:dyDescent="0.3">
      <c r="E2" s="19" t="s">
        <v>4</v>
      </c>
      <c r="F2" s="3">
        <v>0.1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0.30000000000000004</v>
      </c>
      <c r="D6" s="9">
        <f>1/(1+EXP(-C6))</f>
        <v>0.57444251681165903</v>
      </c>
      <c r="E6" s="11">
        <f>D6-B6</f>
        <v>0.57444251681165903</v>
      </c>
      <c r="F6" s="13">
        <f>E6*A6</f>
        <v>1.1488850336233181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0.30000000000000004</v>
      </c>
      <c r="D7" s="9">
        <f t="shared" ref="D7:D55" si="1">1/(1+EXP(-C7))</f>
        <v>0.57444251681165903</v>
      </c>
      <c r="E7" s="11">
        <f t="shared" ref="E7:E55" si="2">D7-B7</f>
        <v>0.57444251681165903</v>
      </c>
      <c r="F7" s="13">
        <f t="shared" ref="F7:F55" si="3">E7*A7</f>
        <v>1.1488850336233181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0.30000000000000004</v>
      </c>
      <c r="D8" s="9">
        <f t="shared" si="1"/>
        <v>0.57444251681165903</v>
      </c>
      <c r="E8" s="11">
        <f t="shared" si="2"/>
        <v>-0.42555748318834097</v>
      </c>
      <c r="F8" s="13">
        <f t="shared" si="3"/>
        <v>-0.85111496637668194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0.4</v>
      </c>
      <c r="D9" s="9">
        <f t="shared" si="1"/>
        <v>0.598687660112452</v>
      </c>
      <c r="E9" s="11">
        <f t="shared" si="2"/>
        <v>-0.401312339887548</v>
      </c>
      <c r="F9" s="13">
        <f t="shared" si="3"/>
        <v>-1.203937019662644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0.30000000000000004</v>
      </c>
      <c r="D10" s="9">
        <f t="shared" si="1"/>
        <v>0.57444251681165903</v>
      </c>
      <c r="E10" s="11">
        <f t="shared" si="2"/>
        <v>-0.42555748318834097</v>
      </c>
      <c r="F10" s="13">
        <f t="shared" si="3"/>
        <v>-0.85111496637668194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0.30000000000000004</v>
      </c>
      <c r="D11" s="9">
        <f t="shared" si="1"/>
        <v>0.57444251681165903</v>
      </c>
      <c r="E11" s="11">
        <f t="shared" si="2"/>
        <v>-0.42555748318834097</v>
      </c>
      <c r="F11" s="13">
        <f t="shared" si="3"/>
        <v>-0.85111496637668194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0.30000000000000004</v>
      </c>
      <c r="D12" s="9">
        <f t="shared" si="1"/>
        <v>0.57444251681165903</v>
      </c>
      <c r="E12" s="11">
        <f t="shared" si="2"/>
        <v>-0.42555748318834097</v>
      </c>
      <c r="F12" s="13">
        <f t="shared" si="3"/>
        <v>-0.85111496637668194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0.30000000000000004</v>
      </c>
      <c r="D13" s="9">
        <f t="shared" si="1"/>
        <v>0.57444251681165903</v>
      </c>
      <c r="E13" s="11">
        <f t="shared" si="2"/>
        <v>0.57444251681165903</v>
      </c>
      <c r="F13" s="13">
        <f t="shared" si="3"/>
        <v>1.1488850336233181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0.30000000000000004</v>
      </c>
      <c r="D14" s="9">
        <f t="shared" si="1"/>
        <v>0.57444251681165903</v>
      </c>
      <c r="E14" s="11">
        <f t="shared" si="2"/>
        <v>-0.42555748318834097</v>
      </c>
      <c r="F14" s="13">
        <f t="shared" si="3"/>
        <v>-0.85111496637668194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0.30000000000000004</v>
      </c>
      <c r="D15" s="9">
        <f t="shared" si="1"/>
        <v>0.57444251681165903</v>
      </c>
      <c r="E15" s="11">
        <f t="shared" si="2"/>
        <v>-0.42555748318834097</v>
      </c>
      <c r="F15" s="13">
        <f t="shared" si="3"/>
        <v>-0.85111496637668194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0.30000000000000004</v>
      </c>
      <c r="D16" s="9">
        <f t="shared" si="1"/>
        <v>0.57444251681165903</v>
      </c>
      <c r="E16" s="11">
        <f t="shared" si="2"/>
        <v>0.57444251681165903</v>
      </c>
      <c r="F16" s="13">
        <f t="shared" si="3"/>
        <v>1.1488850336233181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0.4</v>
      </c>
      <c r="D17" s="9">
        <f t="shared" si="1"/>
        <v>0.598687660112452</v>
      </c>
      <c r="E17" s="11">
        <f t="shared" si="2"/>
        <v>-0.401312339887548</v>
      </c>
      <c r="F17" s="13">
        <f t="shared" si="3"/>
        <v>-1.203937019662644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0.2</v>
      </c>
      <c r="D18" s="9">
        <f t="shared" si="1"/>
        <v>0.54983399731247795</v>
      </c>
      <c r="E18" s="11">
        <f t="shared" si="2"/>
        <v>-0.45016600268752205</v>
      </c>
      <c r="F18" s="13">
        <f t="shared" si="3"/>
        <v>-0.45016600268752205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0.30000000000000004</v>
      </c>
      <c r="D19" s="9">
        <f t="shared" si="1"/>
        <v>0.57444251681165903</v>
      </c>
      <c r="E19" s="11">
        <f t="shared" si="2"/>
        <v>-0.42555748318834097</v>
      </c>
      <c r="F19" s="13">
        <f t="shared" si="3"/>
        <v>-0.85111496637668194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0.4</v>
      </c>
      <c r="D20" s="9">
        <f t="shared" si="1"/>
        <v>0.598687660112452</v>
      </c>
      <c r="E20" s="11">
        <f t="shared" si="2"/>
        <v>-0.401312339887548</v>
      </c>
      <c r="F20" s="13">
        <f t="shared" si="3"/>
        <v>-1.203937019662644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0.2</v>
      </c>
      <c r="D21" s="9">
        <f t="shared" si="1"/>
        <v>0.54983399731247795</v>
      </c>
      <c r="E21" s="11">
        <f t="shared" si="2"/>
        <v>-0.45016600268752205</v>
      </c>
      <c r="F21" s="13">
        <f t="shared" si="3"/>
        <v>-0.45016600268752205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0.4</v>
      </c>
      <c r="D22" s="9">
        <f t="shared" si="1"/>
        <v>0.598687660112452</v>
      </c>
      <c r="E22" s="11">
        <f t="shared" si="2"/>
        <v>-0.401312339887548</v>
      </c>
      <c r="F22" s="13">
        <f t="shared" si="3"/>
        <v>-1.203937019662644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0.30000000000000004</v>
      </c>
      <c r="D23" s="9">
        <f t="shared" si="1"/>
        <v>0.57444251681165903</v>
      </c>
      <c r="E23" s="11">
        <f t="shared" si="2"/>
        <v>-0.42555748318834097</v>
      </c>
      <c r="F23" s="13">
        <f t="shared" si="3"/>
        <v>-0.85111496637668194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0.2</v>
      </c>
      <c r="D24" s="9">
        <f t="shared" si="1"/>
        <v>0.54983399731247795</v>
      </c>
      <c r="E24" s="11">
        <f t="shared" si="2"/>
        <v>0.54983399731247795</v>
      </c>
      <c r="F24" s="13">
        <f t="shared" si="3"/>
        <v>0.54983399731247795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0.2</v>
      </c>
      <c r="D25" s="9">
        <f t="shared" si="1"/>
        <v>0.54983399731247795</v>
      </c>
      <c r="E25" s="11">
        <f t="shared" si="2"/>
        <v>-0.45016600268752205</v>
      </c>
      <c r="F25" s="13">
        <f t="shared" si="3"/>
        <v>-0.45016600268752205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0.30000000000000004</v>
      </c>
      <c r="D26" s="9">
        <f t="shared" si="1"/>
        <v>0.57444251681165903</v>
      </c>
      <c r="E26" s="11">
        <f t="shared" si="2"/>
        <v>-0.42555748318834097</v>
      </c>
      <c r="F26" s="13">
        <f t="shared" si="3"/>
        <v>-0.85111496637668194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0.2</v>
      </c>
      <c r="D27" s="9">
        <f t="shared" si="1"/>
        <v>0.54983399731247795</v>
      </c>
      <c r="E27" s="11">
        <f t="shared" si="2"/>
        <v>-0.45016600268752205</v>
      </c>
      <c r="F27" s="13">
        <f t="shared" si="3"/>
        <v>-0.45016600268752205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0.30000000000000004</v>
      </c>
      <c r="D28" s="9">
        <f t="shared" si="1"/>
        <v>0.57444251681165903</v>
      </c>
      <c r="E28" s="11">
        <f t="shared" si="2"/>
        <v>-0.42555748318834097</v>
      </c>
      <c r="F28" s="13">
        <f t="shared" si="3"/>
        <v>-0.85111496637668194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0.30000000000000004</v>
      </c>
      <c r="D29" s="9">
        <f t="shared" si="1"/>
        <v>0.57444251681165903</v>
      </c>
      <c r="E29" s="11">
        <f t="shared" si="2"/>
        <v>-0.42555748318834097</v>
      </c>
      <c r="F29" s="13">
        <f t="shared" si="3"/>
        <v>-0.85111496637668194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0.4</v>
      </c>
      <c r="D30" s="9">
        <f t="shared" si="1"/>
        <v>0.598687660112452</v>
      </c>
      <c r="E30" s="11">
        <f t="shared" si="2"/>
        <v>0.598687660112452</v>
      </c>
      <c r="F30" s="13">
        <f t="shared" si="3"/>
        <v>1.796062980337356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0.2</v>
      </c>
      <c r="D31" s="9">
        <f t="shared" si="1"/>
        <v>0.54983399731247795</v>
      </c>
      <c r="E31" s="11">
        <f t="shared" si="2"/>
        <v>0.54983399731247795</v>
      </c>
      <c r="F31" s="13">
        <f t="shared" si="3"/>
        <v>0.54983399731247795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0.2</v>
      </c>
      <c r="D32" s="9">
        <f t="shared" si="1"/>
        <v>0.54983399731247795</v>
      </c>
      <c r="E32" s="11">
        <f t="shared" si="2"/>
        <v>-0.45016600268752205</v>
      </c>
      <c r="F32" s="13">
        <f t="shared" si="3"/>
        <v>-0.45016600268752205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0.2</v>
      </c>
      <c r="D33" s="9">
        <f t="shared" si="1"/>
        <v>0.54983399731247795</v>
      </c>
      <c r="E33" s="11">
        <f t="shared" si="2"/>
        <v>-0.45016600268752205</v>
      </c>
      <c r="F33" s="13">
        <f t="shared" si="3"/>
        <v>-0.45016600268752205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0.30000000000000004</v>
      </c>
      <c r="D34" s="9">
        <f t="shared" si="1"/>
        <v>0.57444251681165903</v>
      </c>
      <c r="E34" s="11">
        <f t="shared" si="2"/>
        <v>-0.42555748318834097</v>
      </c>
      <c r="F34" s="13">
        <f t="shared" si="3"/>
        <v>-0.85111496637668194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0.30000000000000004</v>
      </c>
      <c r="D35" s="9">
        <f t="shared" si="1"/>
        <v>0.57444251681165903</v>
      </c>
      <c r="E35" s="11">
        <f t="shared" si="2"/>
        <v>-0.42555748318834097</v>
      </c>
      <c r="F35" s="13">
        <f t="shared" si="3"/>
        <v>-0.85111496637668194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0.30000000000000004</v>
      </c>
      <c r="D36" s="9">
        <f t="shared" si="1"/>
        <v>0.57444251681165903</v>
      </c>
      <c r="E36" s="11">
        <f t="shared" si="2"/>
        <v>-0.42555748318834097</v>
      </c>
      <c r="F36" s="13">
        <f t="shared" si="3"/>
        <v>-0.85111496637668194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0.30000000000000004</v>
      </c>
      <c r="D37" s="9">
        <f t="shared" si="1"/>
        <v>0.57444251681165903</v>
      </c>
      <c r="E37" s="11">
        <f t="shared" si="2"/>
        <v>-0.42555748318834097</v>
      </c>
      <c r="F37" s="13">
        <f t="shared" si="3"/>
        <v>-0.85111496637668194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0.30000000000000004</v>
      </c>
      <c r="D38" s="9">
        <f t="shared" si="1"/>
        <v>0.57444251681165903</v>
      </c>
      <c r="E38" s="11">
        <f t="shared" si="2"/>
        <v>-0.42555748318834097</v>
      </c>
      <c r="F38" s="13">
        <f t="shared" si="3"/>
        <v>-0.85111496637668194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0.30000000000000004</v>
      </c>
      <c r="D39" s="9">
        <f t="shared" si="1"/>
        <v>0.57444251681165903</v>
      </c>
      <c r="E39" s="11">
        <f t="shared" si="2"/>
        <v>-0.42555748318834097</v>
      </c>
      <c r="F39" s="13">
        <f t="shared" si="3"/>
        <v>-0.85111496637668194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0.2</v>
      </c>
      <c r="D40" s="9">
        <f t="shared" si="1"/>
        <v>0.54983399731247795</v>
      </c>
      <c r="E40" s="11">
        <f t="shared" si="2"/>
        <v>-0.45016600268752205</v>
      </c>
      <c r="F40" s="13">
        <f t="shared" si="3"/>
        <v>-0.45016600268752205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0.2</v>
      </c>
      <c r="D41" s="9">
        <f t="shared" si="1"/>
        <v>0.54983399731247795</v>
      </c>
      <c r="E41" s="11">
        <f t="shared" si="2"/>
        <v>0.54983399731247795</v>
      </c>
      <c r="F41" s="13">
        <f t="shared" si="3"/>
        <v>0.54983399731247795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0.4</v>
      </c>
      <c r="D42" s="9">
        <f t="shared" si="1"/>
        <v>0.598687660112452</v>
      </c>
      <c r="E42" s="11">
        <f t="shared" si="2"/>
        <v>-0.401312339887548</v>
      </c>
      <c r="F42" s="13">
        <f t="shared" si="3"/>
        <v>-1.203937019662644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0.4</v>
      </c>
      <c r="D43" s="9">
        <f t="shared" si="1"/>
        <v>0.598687660112452</v>
      </c>
      <c r="E43" s="11">
        <f t="shared" si="2"/>
        <v>-0.401312339887548</v>
      </c>
      <c r="F43" s="13">
        <f t="shared" si="3"/>
        <v>-1.203937019662644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0.4</v>
      </c>
      <c r="D44" s="9">
        <f t="shared" si="1"/>
        <v>0.598687660112452</v>
      </c>
      <c r="E44" s="11">
        <f t="shared" si="2"/>
        <v>-0.401312339887548</v>
      </c>
      <c r="F44" s="13">
        <f t="shared" si="3"/>
        <v>-1.203937019662644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0.2</v>
      </c>
      <c r="D45" s="9">
        <f t="shared" si="1"/>
        <v>0.54983399731247795</v>
      </c>
      <c r="E45" s="11">
        <f t="shared" si="2"/>
        <v>-0.45016600268752205</v>
      </c>
      <c r="F45" s="13">
        <f t="shared" si="3"/>
        <v>-0.45016600268752205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0.30000000000000004</v>
      </c>
      <c r="D46" s="9">
        <f t="shared" si="1"/>
        <v>0.57444251681165903</v>
      </c>
      <c r="E46" s="11">
        <f t="shared" si="2"/>
        <v>-0.42555748318834097</v>
      </c>
      <c r="F46" s="13">
        <f t="shared" si="3"/>
        <v>-0.85111496637668194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0.2</v>
      </c>
      <c r="D47" s="9">
        <f t="shared" si="1"/>
        <v>0.54983399731247795</v>
      </c>
      <c r="E47" s="11">
        <f t="shared" si="2"/>
        <v>-0.45016600268752205</v>
      </c>
      <c r="F47" s="13">
        <f t="shared" si="3"/>
        <v>-0.45016600268752205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0.30000000000000004</v>
      </c>
      <c r="D48" s="9">
        <f t="shared" si="1"/>
        <v>0.57444251681165903</v>
      </c>
      <c r="E48" s="11">
        <f t="shared" si="2"/>
        <v>-0.42555748318834097</v>
      </c>
      <c r="F48" s="13">
        <f t="shared" si="3"/>
        <v>-0.85111496637668194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0.2</v>
      </c>
      <c r="D49" s="9">
        <f t="shared" si="1"/>
        <v>0.54983399731247795</v>
      </c>
      <c r="E49" s="11">
        <f t="shared" si="2"/>
        <v>-0.45016600268752205</v>
      </c>
      <c r="F49" s="13">
        <f t="shared" si="3"/>
        <v>-0.45016600268752205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0.30000000000000004</v>
      </c>
      <c r="D50" s="9">
        <f t="shared" si="1"/>
        <v>0.57444251681165903</v>
      </c>
      <c r="E50" s="11">
        <f t="shared" si="2"/>
        <v>0.57444251681165903</v>
      </c>
      <c r="F50" s="13">
        <f t="shared" si="3"/>
        <v>1.1488850336233181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0.30000000000000004</v>
      </c>
      <c r="D51" s="9">
        <f t="shared" si="1"/>
        <v>0.57444251681165903</v>
      </c>
      <c r="E51" s="11">
        <f t="shared" si="2"/>
        <v>0.57444251681165903</v>
      </c>
      <c r="F51" s="13">
        <f t="shared" si="3"/>
        <v>1.1488850336233181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0.30000000000000004</v>
      </c>
      <c r="D52" s="9">
        <f t="shared" si="1"/>
        <v>0.57444251681165903</v>
      </c>
      <c r="E52" s="11">
        <f t="shared" si="2"/>
        <v>-0.42555748318834097</v>
      </c>
      <c r="F52" s="13">
        <f t="shared" si="3"/>
        <v>-0.85111496637668194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0.5</v>
      </c>
      <c r="D53" s="9">
        <f t="shared" si="1"/>
        <v>0.62245933120185459</v>
      </c>
      <c r="E53" s="11">
        <f t="shared" si="2"/>
        <v>-0.37754066879814541</v>
      </c>
      <c r="F53" s="13">
        <f t="shared" si="3"/>
        <v>-1.5101626751925816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0.30000000000000004</v>
      </c>
      <c r="D54" s="9">
        <f t="shared" si="1"/>
        <v>0.57444251681165903</v>
      </c>
      <c r="E54" s="11">
        <f t="shared" si="2"/>
        <v>-0.42555748318834097</v>
      </c>
      <c r="F54" s="13">
        <f t="shared" si="3"/>
        <v>-0.85111496637668194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0.30000000000000004</v>
      </c>
      <c r="D55" s="9">
        <f t="shared" si="1"/>
        <v>0.57444251681165903</v>
      </c>
      <c r="E55" s="11">
        <f t="shared" si="2"/>
        <v>-0.42555748318834097</v>
      </c>
      <c r="F55" s="13">
        <f t="shared" si="3"/>
        <v>-0.85111496637668194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-0.22711613904219732</v>
      </c>
      <c r="B58" s="17">
        <f>AVERAGE(F6:F55)</f>
        <v>-0.45650071851957219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0.14565007185195722</v>
      </c>
      <c r="B61" s="15">
        <f>F2-$F$3*A58</f>
        <v>0.12271161390421974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5B5F-511B-46ED-80BA-ACCB5D80524B}">
  <dimension ref="A1:F61"/>
  <sheetViews>
    <sheetView topLeftCell="A39" zoomScale="115" zoomScaleNormal="115" workbookViewId="0">
      <selection activeCell="E60" sqref="E60"/>
    </sheetView>
  </sheetViews>
  <sheetFormatPr defaultColWidth="14.88671875" defaultRowHeight="13.8" x14ac:dyDescent="0.3"/>
  <cols>
    <col min="1" max="16384" width="14.88671875" style="1"/>
  </cols>
  <sheetData>
    <row r="1" spans="1:6" x14ac:dyDescent="0.25">
      <c r="E1" s="19" t="s">
        <v>3</v>
      </c>
      <c r="F1" s="18">
        <f>ITERASI_1!A61</f>
        <v>0.14565007185195722</v>
      </c>
    </row>
    <row r="2" spans="1:6" x14ac:dyDescent="0.25">
      <c r="E2" s="19" t="s">
        <v>4</v>
      </c>
      <c r="F2" s="18">
        <f>ITERASI_1!B61</f>
        <v>0.12271161390421974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0.41401175760813419</v>
      </c>
      <c r="D6" s="9">
        <f>1/(1+EXP(-C6))</f>
        <v>0.60204943182735815</v>
      </c>
      <c r="E6" s="11">
        <f>D6-B6</f>
        <v>0.60204943182735815</v>
      </c>
      <c r="F6" s="13">
        <f>E6*A6</f>
        <v>1.2040988636547163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0.41401175760813419</v>
      </c>
      <c r="D7" s="9">
        <f t="shared" ref="D7:D55" si="1">1/(1+EXP(-C7))</f>
        <v>0.60204943182735815</v>
      </c>
      <c r="E7" s="11">
        <f t="shared" ref="E7:E55" si="2">D7-B7</f>
        <v>0.60204943182735815</v>
      </c>
      <c r="F7" s="13">
        <f t="shared" ref="F7:F55" si="3">E7*A7</f>
        <v>1.2040988636547163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0.41401175760813419</v>
      </c>
      <c r="D8" s="9">
        <f t="shared" si="1"/>
        <v>0.60204943182735815</v>
      </c>
      <c r="E8" s="11">
        <f t="shared" si="2"/>
        <v>-0.39795056817264185</v>
      </c>
      <c r="F8" s="13">
        <f t="shared" si="3"/>
        <v>-0.7959011363452837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0.55966182946009135</v>
      </c>
      <c r="D9" s="9">
        <f t="shared" si="1"/>
        <v>0.63637429053385686</v>
      </c>
      <c r="E9" s="11">
        <f t="shared" si="2"/>
        <v>-0.36362570946614314</v>
      </c>
      <c r="F9" s="13">
        <f t="shared" si="3"/>
        <v>-1.0908771283984295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0.41401175760813419</v>
      </c>
      <c r="D10" s="9">
        <f t="shared" si="1"/>
        <v>0.60204943182735815</v>
      </c>
      <c r="E10" s="11">
        <f t="shared" si="2"/>
        <v>-0.39795056817264185</v>
      </c>
      <c r="F10" s="13">
        <f t="shared" si="3"/>
        <v>-0.7959011363452837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0.41401175760813419</v>
      </c>
      <c r="D11" s="9">
        <f t="shared" si="1"/>
        <v>0.60204943182735815</v>
      </c>
      <c r="E11" s="11">
        <f t="shared" si="2"/>
        <v>-0.39795056817264185</v>
      </c>
      <c r="F11" s="13">
        <f t="shared" si="3"/>
        <v>-0.7959011363452837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0.41401175760813419</v>
      </c>
      <c r="D12" s="9">
        <f t="shared" si="1"/>
        <v>0.60204943182735815</v>
      </c>
      <c r="E12" s="11">
        <f t="shared" si="2"/>
        <v>-0.39795056817264185</v>
      </c>
      <c r="F12" s="13">
        <f t="shared" si="3"/>
        <v>-0.7959011363452837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0.41401175760813419</v>
      </c>
      <c r="D13" s="9">
        <f t="shared" si="1"/>
        <v>0.60204943182735815</v>
      </c>
      <c r="E13" s="11">
        <f t="shared" si="2"/>
        <v>0.60204943182735815</v>
      </c>
      <c r="F13" s="13">
        <f t="shared" si="3"/>
        <v>1.2040988636547163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0.41401175760813419</v>
      </c>
      <c r="D14" s="9">
        <f t="shared" si="1"/>
        <v>0.60204943182735815</v>
      </c>
      <c r="E14" s="11">
        <f t="shared" si="2"/>
        <v>-0.39795056817264185</v>
      </c>
      <c r="F14" s="13">
        <f t="shared" si="3"/>
        <v>-0.7959011363452837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0.41401175760813419</v>
      </c>
      <c r="D15" s="9">
        <f t="shared" si="1"/>
        <v>0.60204943182735815</v>
      </c>
      <c r="E15" s="11">
        <f t="shared" si="2"/>
        <v>-0.39795056817264185</v>
      </c>
      <c r="F15" s="13">
        <f t="shared" si="3"/>
        <v>-0.7959011363452837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0.41401175760813419</v>
      </c>
      <c r="D16" s="9">
        <f t="shared" si="1"/>
        <v>0.60204943182735815</v>
      </c>
      <c r="E16" s="11">
        <f t="shared" si="2"/>
        <v>0.60204943182735815</v>
      </c>
      <c r="F16" s="13">
        <f t="shared" si="3"/>
        <v>1.2040988636547163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0.55966182946009135</v>
      </c>
      <c r="D17" s="9">
        <f t="shared" si="1"/>
        <v>0.63637429053385686</v>
      </c>
      <c r="E17" s="11">
        <f t="shared" si="2"/>
        <v>-0.36362570946614314</v>
      </c>
      <c r="F17" s="13">
        <f t="shared" si="3"/>
        <v>-1.0908771283984295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0.26836168575617697</v>
      </c>
      <c r="D18" s="9">
        <f t="shared" si="1"/>
        <v>0.56669065708227018</v>
      </c>
      <c r="E18" s="11">
        <f t="shared" si="2"/>
        <v>-0.43330934291772982</v>
      </c>
      <c r="F18" s="13">
        <f t="shared" si="3"/>
        <v>-0.43330934291772982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0.41401175760813419</v>
      </c>
      <c r="D19" s="9">
        <f t="shared" si="1"/>
        <v>0.60204943182735815</v>
      </c>
      <c r="E19" s="11">
        <f t="shared" si="2"/>
        <v>-0.39795056817264185</v>
      </c>
      <c r="F19" s="13">
        <f t="shared" si="3"/>
        <v>-0.7959011363452837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0.55966182946009135</v>
      </c>
      <c r="D20" s="9">
        <f t="shared" si="1"/>
        <v>0.63637429053385686</v>
      </c>
      <c r="E20" s="11">
        <f t="shared" si="2"/>
        <v>-0.36362570946614314</v>
      </c>
      <c r="F20" s="13">
        <f t="shared" si="3"/>
        <v>-1.0908771283984295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0.26836168575617697</v>
      </c>
      <c r="D21" s="9">
        <f t="shared" si="1"/>
        <v>0.56669065708227018</v>
      </c>
      <c r="E21" s="11">
        <f t="shared" si="2"/>
        <v>-0.43330934291772982</v>
      </c>
      <c r="F21" s="13">
        <f t="shared" si="3"/>
        <v>-0.43330934291772982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0.55966182946009135</v>
      </c>
      <c r="D22" s="9">
        <f t="shared" si="1"/>
        <v>0.63637429053385686</v>
      </c>
      <c r="E22" s="11">
        <f t="shared" si="2"/>
        <v>-0.36362570946614314</v>
      </c>
      <c r="F22" s="13">
        <f t="shared" si="3"/>
        <v>-1.0908771283984295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0.41401175760813419</v>
      </c>
      <c r="D23" s="9">
        <f t="shared" si="1"/>
        <v>0.60204943182735815</v>
      </c>
      <c r="E23" s="11">
        <f t="shared" si="2"/>
        <v>-0.39795056817264185</v>
      </c>
      <c r="F23" s="13">
        <f t="shared" si="3"/>
        <v>-0.7959011363452837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0.26836168575617697</v>
      </c>
      <c r="D24" s="9">
        <f t="shared" si="1"/>
        <v>0.56669065708227018</v>
      </c>
      <c r="E24" s="11">
        <f t="shared" si="2"/>
        <v>0.56669065708227018</v>
      </c>
      <c r="F24" s="13">
        <f t="shared" si="3"/>
        <v>0.56669065708227018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0.26836168575617697</v>
      </c>
      <c r="D25" s="9">
        <f t="shared" si="1"/>
        <v>0.56669065708227018</v>
      </c>
      <c r="E25" s="11">
        <f t="shared" si="2"/>
        <v>-0.43330934291772982</v>
      </c>
      <c r="F25" s="13">
        <f t="shared" si="3"/>
        <v>-0.43330934291772982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0.41401175760813419</v>
      </c>
      <c r="D26" s="9">
        <f t="shared" si="1"/>
        <v>0.60204943182735815</v>
      </c>
      <c r="E26" s="11">
        <f t="shared" si="2"/>
        <v>-0.39795056817264185</v>
      </c>
      <c r="F26" s="13">
        <f t="shared" si="3"/>
        <v>-0.7959011363452837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0.26836168575617697</v>
      </c>
      <c r="D27" s="9">
        <f t="shared" si="1"/>
        <v>0.56669065708227018</v>
      </c>
      <c r="E27" s="11">
        <f t="shared" si="2"/>
        <v>-0.43330934291772982</v>
      </c>
      <c r="F27" s="13">
        <f t="shared" si="3"/>
        <v>-0.43330934291772982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0.41401175760813419</v>
      </c>
      <c r="D28" s="9">
        <f t="shared" si="1"/>
        <v>0.60204943182735815</v>
      </c>
      <c r="E28" s="11">
        <f t="shared" si="2"/>
        <v>-0.39795056817264185</v>
      </c>
      <c r="F28" s="13">
        <f t="shared" si="3"/>
        <v>-0.7959011363452837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0.41401175760813419</v>
      </c>
      <c r="D29" s="9">
        <f t="shared" si="1"/>
        <v>0.60204943182735815</v>
      </c>
      <c r="E29" s="11">
        <f t="shared" si="2"/>
        <v>-0.39795056817264185</v>
      </c>
      <c r="F29" s="13">
        <f t="shared" si="3"/>
        <v>-0.7959011363452837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0.55966182946009135</v>
      </c>
      <c r="D30" s="9">
        <f t="shared" si="1"/>
        <v>0.63637429053385686</v>
      </c>
      <c r="E30" s="11">
        <f t="shared" si="2"/>
        <v>0.63637429053385686</v>
      </c>
      <c r="F30" s="13">
        <f t="shared" si="3"/>
        <v>1.9091228716015705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0.26836168575617697</v>
      </c>
      <c r="D31" s="9">
        <f t="shared" si="1"/>
        <v>0.56669065708227018</v>
      </c>
      <c r="E31" s="11">
        <f t="shared" si="2"/>
        <v>0.56669065708227018</v>
      </c>
      <c r="F31" s="13">
        <f t="shared" si="3"/>
        <v>0.56669065708227018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0.26836168575617697</v>
      </c>
      <c r="D32" s="9">
        <f t="shared" si="1"/>
        <v>0.56669065708227018</v>
      </c>
      <c r="E32" s="11">
        <f t="shared" si="2"/>
        <v>-0.43330934291772982</v>
      </c>
      <c r="F32" s="13">
        <f t="shared" si="3"/>
        <v>-0.43330934291772982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0.26836168575617697</v>
      </c>
      <c r="D33" s="9">
        <f t="shared" si="1"/>
        <v>0.56669065708227018</v>
      </c>
      <c r="E33" s="11">
        <f t="shared" si="2"/>
        <v>-0.43330934291772982</v>
      </c>
      <c r="F33" s="13">
        <f t="shared" si="3"/>
        <v>-0.43330934291772982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0.41401175760813419</v>
      </c>
      <c r="D34" s="9">
        <f t="shared" si="1"/>
        <v>0.60204943182735815</v>
      </c>
      <c r="E34" s="11">
        <f t="shared" si="2"/>
        <v>-0.39795056817264185</v>
      </c>
      <c r="F34" s="13">
        <f t="shared" si="3"/>
        <v>-0.7959011363452837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0.41401175760813419</v>
      </c>
      <c r="D35" s="9">
        <f t="shared" si="1"/>
        <v>0.60204943182735815</v>
      </c>
      <c r="E35" s="11">
        <f t="shared" si="2"/>
        <v>-0.39795056817264185</v>
      </c>
      <c r="F35" s="13">
        <f t="shared" si="3"/>
        <v>-0.7959011363452837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0.41401175760813419</v>
      </c>
      <c r="D36" s="9">
        <f t="shared" si="1"/>
        <v>0.60204943182735815</v>
      </c>
      <c r="E36" s="11">
        <f t="shared" si="2"/>
        <v>-0.39795056817264185</v>
      </c>
      <c r="F36" s="13">
        <f t="shared" si="3"/>
        <v>-0.7959011363452837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0.41401175760813419</v>
      </c>
      <c r="D37" s="9">
        <f t="shared" si="1"/>
        <v>0.60204943182735815</v>
      </c>
      <c r="E37" s="11">
        <f t="shared" si="2"/>
        <v>-0.39795056817264185</v>
      </c>
      <c r="F37" s="13">
        <f t="shared" si="3"/>
        <v>-0.7959011363452837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0.41401175760813419</v>
      </c>
      <c r="D38" s="9">
        <f t="shared" si="1"/>
        <v>0.60204943182735815</v>
      </c>
      <c r="E38" s="11">
        <f t="shared" si="2"/>
        <v>-0.39795056817264185</v>
      </c>
      <c r="F38" s="13">
        <f t="shared" si="3"/>
        <v>-0.7959011363452837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0.41401175760813419</v>
      </c>
      <c r="D39" s="9">
        <f t="shared" si="1"/>
        <v>0.60204943182735815</v>
      </c>
      <c r="E39" s="11">
        <f t="shared" si="2"/>
        <v>-0.39795056817264185</v>
      </c>
      <c r="F39" s="13">
        <f t="shared" si="3"/>
        <v>-0.7959011363452837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0.26836168575617697</v>
      </c>
      <c r="D40" s="9">
        <f t="shared" si="1"/>
        <v>0.56669065708227018</v>
      </c>
      <c r="E40" s="11">
        <f t="shared" si="2"/>
        <v>-0.43330934291772982</v>
      </c>
      <c r="F40" s="13">
        <f t="shared" si="3"/>
        <v>-0.43330934291772982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0.26836168575617697</v>
      </c>
      <c r="D41" s="9">
        <f t="shared" si="1"/>
        <v>0.56669065708227018</v>
      </c>
      <c r="E41" s="11">
        <f t="shared" si="2"/>
        <v>0.56669065708227018</v>
      </c>
      <c r="F41" s="13">
        <f t="shared" si="3"/>
        <v>0.56669065708227018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0.55966182946009135</v>
      </c>
      <c r="D42" s="9">
        <f t="shared" si="1"/>
        <v>0.63637429053385686</v>
      </c>
      <c r="E42" s="11">
        <f t="shared" si="2"/>
        <v>-0.36362570946614314</v>
      </c>
      <c r="F42" s="13">
        <f t="shared" si="3"/>
        <v>-1.0908771283984295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0.55966182946009135</v>
      </c>
      <c r="D43" s="9">
        <f t="shared" si="1"/>
        <v>0.63637429053385686</v>
      </c>
      <c r="E43" s="11">
        <f t="shared" si="2"/>
        <v>-0.36362570946614314</v>
      </c>
      <c r="F43" s="13">
        <f t="shared" si="3"/>
        <v>-1.0908771283984295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0.55966182946009135</v>
      </c>
      <c r="D44" s="9">
        <f t="shared" si="1"/>
        <v>0.63637429053385686</v>
      </c>
      <c r="E44" s="11">
        <f t="shared" si="2"/>
        <v>-0.36362570946614314</v>
      </c>
      <c r="F44" s="13">
        <f t="shared" si="3"/>
        <v>-1.0908771283984295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0.26836168575617697</v>
      </c>
      <c r="D45" s="9">
        <f t="shared" si="1"/>
        <v>0.56669065708227018</v>
      </c>
      <c r="E45" s="11">
        <f t="shared" si="2"/>
        <v>-0.43330934291772982</v>
      </c>
      <c r="F45" s="13">
        <f t="shared" si="3"/>
        <v>-0.43330934291772982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0.41401175760813419</v>
      </c>
      <c r="D46" s="9">
        <f t="shared" si="1"/>
        <v>0.60204943182735815</v>
      </c>
      <c r="E46" s="11">
        <f t="shared" si="2"/>
        <v>-0.39795056817264185</v>
      </c>
      <c r="F46" s="13">
        <f t="shared" si="3"/>
        <v>-0.7959011363452837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0.26836168575617697</v>
      </c>
      <c r="D47" s="9">
        <f t="shared" si="1"/>
        <v>0.56669065708227018</v>
      </c>
      <c r="E47" s="11">
        <f t="shared" si="2"/>
        <v>-0.43330934291772982</v>
      </c>
      <c r="F47" s="13">
        <f t="shared" si="3"/>
        <v>-0.43330934291772982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0.41401175760813419</v>
      </c>
      <c r="D48" s="9">
        <f t="shared" si="1"/>
        <v>0.60204943182735815</v>
      </c>
      <c r="E48" s="11">
        <f t="shared" si="2"/>
        <v>-0.39795056817264185</v>
      </c>
      <c r="F48" s="13">
        <f t="shared" si="3"/>
        <v>-0.7959011363452837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0.26836168575617697</v>
      </c>
      <c r="D49" s="9">
        <f t="shared" si="1"/>
        <v>0.56669065708227018</v>
      </c>
      <c r="E49" s="11">
        <f t="shared" si="2"/>
        <v>-0.43330934291772982</v>
      </c>
      <c r="F49" s="13">
        <f t="shared" si="3"/>
        <v>-0.43330934291772982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0.41401175760813419</v>
      </c>
      <c r="D50" s="9">
        <f t="shared" si="1"/>
        <v>0.60204943182735815</v>
      </c>
      <c r="E50" s="11">
        <f t="shared" si="2"/>
        <v>0.60204943182735815</v>
      </c>
      <c r="F50" s="13">
        <f t="shared" si="3"/>
        <v>1.2040988636547163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0.41401175760813419</v>
      </c>
      <c r="D51" s="9">
        <f t="shared" si="1"/>
        <v>0.60204943182735815</v>
      </c>
      <c r="E51" s="11">
        <f t="shared" si="2"/>
        <v>0.60204943182735815</v>
      </c>
      <c r="F51" s="13">
        <f t="shared" si="3"/>
        <v>1.2040988636547163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0.41401175760813419</v>
      </c>
      <c r="D52" s="9">
        <f t="shared" si="1"/>
        <v>0.60204943182735815</v>
      </c>
      <c r="E52" s="11">
        <f t="shared" si="2"/>
        <v>-0.39795056817264185</v>
      </c>
      <c r="F52" s="13">
        <f t="shared" si="3"/>
        <v>-0.7959011363452837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0.70531190131204857</v>
      </c>
      <c r="D53" s="9">
        <f t="shared" si="1"/>
        <v>0.66936443507702192</v>
      </c>
      <c r="E53" s="11">
        <f t="shared" si="2"/>
        <v>-0.33063556492297808</v>
      </c>
      <c r="F53" s="13">
        <f t="shared" si="3"/>
        <v>-1.3225422596919123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0.41401175760813419</v>
      </c>
      <c r="D54" s="9">
        <f t="shared" si="1"/>
        <v>0.60204943182735815</v>
      </c>
      <c r="E54" s="11">
        <f t="shared" si="2"/>
        <v>-0.39795056817264185</v>
      </c>
      <c r="F54" s="13">
        <f t="shared" si="3"/>
        <v>-0.7959011363452837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0.41401175760813419</v>
      </c>
      <c r="D55" s="9">
        <f t="shared" si="1"/>
        <v>0.60204943182735815</v>
      </c>
      <c r="E55" s="11">
        <f t="shared" si="2"/>
        <v>-0.39795056817264185</v>
      </c>
      <c r="F55" s="13">
        <f t="shared" si="3"/>
        <v>-0.7959011363452837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-0.20030557214833158</v>
      </c>
      <c r="B58" s="17">
        <f>AVERAGE(F6:F55)</f>
        <v>-0.39935625124955548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0.18558569697691277</v>
      </c>
      <c r="B61" s="15">
        <f>F2-$F$3*A58</f>
        <v>0.14274217111905291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8DB6-2E16-4FB1-8BD4-F1A7ADE5755C}">
  <dimension ref="A1:F61"/>
  <sheetViews>
    <sheetView topLeftCell="A46" zoomScale="115" zoomScaleNormal="115" workbookViewId="0">
      <selection activeCell="E64" sqref="E64"/>
    </sheetView>
  </sheetViews>
  <sheetFormatPr defaultColWidth="14.88671875" defaultRowHeight="13.8" x14ac:dyDescent="0.3"/>
  <cols>
    <col min="1" max="16384" width="14.88671875" style="1"/>
  </cols>
  <sheetData>
    <row r="1" spans="1:6" x14ac:dyDescent="0.25">
      <c r="E1" s="19" t="s">
        <v>3</v>
      </c>
      <c r="F1" s="18">
        <f>ITERASI_2!A61</f>
        <v>0.18558569697691277</v>
      </c>
    </row>
    <row r="2" spans="1:6" x14ac:dyDescent="0.25">
      <c r="E2" s="19" t="s">
        <v>4</v>
      </c>
      <c r="F2" s="18">
        <f>ITERASI_2!B61</f>
        <v>0.14274217111905291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0.51391356507287844</v>
      </c>
      <c r="D6" s="9">
        <f>1/(1+EXP(-C6))</f>
        <v>0.62572345642006211</v>
      </c>
      <c r="E6" s="11">
        <f>D6-B6</f>
        <v>0.62572345642006211</v>
      </c>
      <c r="F6" s="13">
        <f>E6*A6</f>
        <v>1.2514469128401242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0.51391356507287844</v>
      </c>
      <c r="D7" s="9">
        <f t="shared" ref="D7:D55" si="1">1/(1+EXP(-C7))</f>
        <v>0.62572345642006211</v>
      </c>
      <c r="E7" s="11">
        <f t="shared" ref="E7:E55" si="2">D7-B7</f>
        <v>0.62572345642006211</v>
      </c>
      <c r="F7" s="13">
        <f t="shared" ref="F7:F55" si="3">E7*A7</f>
        <v>1.2514469128401242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0.51391356507287844</v>
      </c>
      <c r="D8" s="9">
        <f t="shared" si="1"/>
        <v>0.62572345642006211</v>
      </c>
      <c r="E8" s="11">
        <f t="shared" si="2"/>
        <v>-0.37427654357993789</v>
      </c>
      <c r="F8" s="13">
        <f t="shared" si="3"/>
        <v>-0.74855308715987579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0.69949926204979129</v>
      </c>
      <c r="D9" s="9">
        <f t="shared" si="1"/>
        <v>0.66807674277010454</v>
      </c>
      <c r="E9" s="11">
        <f t="shared" si="2"/>
        <v>-0.33192325722989546</v>
      </c>
      <c r="F9" s="13">
        <f t="shared" si="3"/>
        <v>-0.99576977168968639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0.51391356507287844</v>
      </c>
      <c r="D10" s="9">
        <f t="shared" si="1"/>
        <v>0.62572345642006211</v>
      </c>
      <c r="E10" s="11">
        <f t="shared" si="2"/>
        <v>-0.37427654357993789</v>
      </c>
      <c r="F10" s="13">
        <f t="shared" si="3"/>
        <v>-0.74855308715987579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0.51391356507287844</v>
      </c>
      <c r="D11" s="9">
        <f t="shared" si="1"/>
        <v>0.62572345642006211</v>
      </c>
      <c r="E11" s="11">
        <f t="shared" si="2"/>
        <v>-0.37427654357993789</v>
      </c>
      <c r="F11" s="13">
        <f t="shared" si="3"/>
        <v>-0.74855308715987579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0.51391356507287844</v>
      </c>
      <c r="D12" s="9">
        <f t="shared" si="1"/>
        <v>0.62572345642006211</v>
      </c>
      <c r="E12" s="11">
        <f t="shared" si="2"/>
        <v>-0.37427654357993789</v>
      </c>
      <c r="F12" s="13">
        <f t="shared" si="3"/>
        <v>-0.74855308715987579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0.51391356507287844</v>
      </c>
      <c r="D13" s="9">
        <f t="shared" si="1"/>
        <v>0.62572345642006211</v>
      </c>
      <c r="E13" s="11">
        <f t="shared" si="2"/>
        <v>0.62572345642006211</v>
      </c>
      <c r="F13" s="13">
        <f t="shared" si="3"/>
        <v>1.2514469128401242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0.51391356507287844</v>
      </c>
      <c r="D14" s="9">
        <f t="shared" si="1"/>
        <v>0.62572345642006211</v>
      </c>
      <c r="E14" s="11">
        <f t="shared" si="2"/>
        <v>-0.37427654357993789</v>
      </c>
      <c r="F14" s="13">
        <f t="shared" si="3"/>
        <v>-0.74855308715987579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0.51391356507287844</v>
      </c>
      <c r="D15" s="9">
        <f t="shared" si="1"/>
        <v>0.62572345642006211</v>
      </c>
      <c r="E15" s="11">
        <f t="shared" si="2"/>
        <v>-0.37427654357993789</v>
      </c>
      <c r="F15" s="13">
        <f t="shared" si="3"/>
        <v>-0.74855308715987579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0.51391356507287844</v>
      </c>
      <c r="D16" s="9">
        <f t="shared" si="1"/>
        <v>0.62572345642006211</v>
      </c>
      <c r="E16" s="11">
        <f t="shared" si="2"/>
        <v>0.62572345642006211</v>
      </c>
      <c r="F16" s="13">
        <f t="shared" si="3"/>
        <v>1.2514469128401242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0.69949926204979129</v>
      </c>
      <c r="D17" s="9">
        <f t="shared" si="1"/>
        <v>0.66807674277010454</v>
      </c>
      <c r="E17" s="11">
        <f t="shared" si="2"/>
        <v>-0.33192325722989546</v>
      </c>
      <c r="F17" s="13">
        <f t="shared" si="3"/>
        <v>-0.99576977168968639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0.3283278680959657</v>
      </c>
      <c r="D18" s="9">
        <f t="shared" si="1"/>
        <v>0.58135246585657407</v>
      </c>
      <c r="E18" s="11">
        <f t="shared" si="2"/>
        <v>-0.41864753414342593</v>
      </c>
      <c r="F18" s="13">
        <f t="shared" si="3"/>
        <v>-0.41864753414342593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0.51391356507287844</v>
      </c>
      <c r="D19" s="9">
        <f t="shared" si="1"/>
        <v>0.62572345642006211</v>
      </c>
      <c r="E19" s="11">
        <f t="shared" si="2"/>
        <v>-0.37427654357993789</v>
      </c>
      <c r="F19" s="13">
        <f t="shared" si="3"/>
        <v>-0.74855308715987579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0.69949926204979129</v>
      </c>
      <c r="D20" s="9">
        <f t="shared" si="1"/>
        <v>0.66807674277010454</v>
      </c>
      <c r="E20" s="11">
        <f t="shared" si="2"/>
        <v>-0.33192325722989546</v>
      </c>
      <c r="F20" s="13">
        <f t="shared" si="3"/>
        <v>-0.99576977168968639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0.3283278680959657</v>
      </c>
      <c r="D21" s="9">
        <f t="shared" si="1"/>
        <v>0.58135246585657407</v>
      </c>
      <c r="E21" s="11">
        <f t="shared" si="2"/>
        <v>-0.41864753414342593</v>
      </c>
      <c r="F21" s="13">
        <f t="shared" si="3"/>
        <v>-0.41864753414342593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0.69949926204979129</v>
      </c>
      <c r="D22" s="9">
        <f t="shared" si="1"/>
        <v>0.66807674277010454</v>
      </c>
      <c r="E22" s="11">
        <f t="shared" si="2"/>
        <v>-0.33192325722989546</v>
      </c>
      <c r="F22" s="13">
        <f t="shared" si="3"/>
        <v>-0.99576977168968639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0.51391356507287844</v>
      </c>
      <c r="D23" s="9">
        <f t="shared" si="1"/>
        <v>0.62572345642006211</v>
      </c>
      <c r="E23" s="11">
        <f t="shared" si="2"/>
        <v>-0.37427654357993789</v>
      </c>
      <c r="F23" s="13">
        <f t="shared" si="3"/>
        <v>-0.74855308715987579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0.3283278680959657</v>
      </c>
      <c r="D24" s="9">
        <f t="shared" si="1"/>
        <v>0.58135246585657407</v>
      </c>
      <c r="E24" s="11">
        <f t="shared" si="2"/>
        <v>0.58135246585657407</v>
      </c>
      <c r="F24" s="13">
        <f t="shared" si="3"/>
        <v>0.58135246585657407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0.3283278680959657</v>
      </c>
      <c r="D25" s="9">
        <f t="shared" si="1"/>
        <v>0.58135246585657407</v>
      </c>
      <c r="E25" s="11">
        <f t="shared" si="2"/>
        <v>-0.41864753414342593</v>
      </c>
      <c r="F25" s="13">
        <f t="shared" si="3"/>
        <v>-0.41864753414342593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0.51391356507287844</v>
      </c>
      <c r="D26" s="9">
        <f t="shared" si="1"/>
        <v>0.62572345642006211</v>
      </c>
      <c r="E26" s="11">
        <f t="shared" si="2"/>
        <v>-0.37427654357993789</v>
      </c>
      <c r="F26" s="13">
        <f t="shared" si="3"/>
        <v>-0.74855308715987579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0.3283278680959657</v>
      </c>
      <c r="D27" s="9">
        <f t="shared" si="1"/>
        <v>0.58135246585657407</v>
      </c>
      <c r="E27" s="11">
        <f t="shared" si="2"/>
        <v>-0.41864753414342593</v>
      </c>
      <c r="F27" s="13">
        <f t="shared" si="3"/>
        <v>-0.41864753414342593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0.51391356507287844</v>
      </c>
      <c r="D28" s="9">
        <f t="shared" si="1"/>
        <v>0.62572345642006211</v>
      </c>
      <c r="E28" s="11">
        <f t="shared" si="2"/>
        <v>-0.37427654357993789</v>
      </c>
      <c r="F28" s="13">
        <f t="shared" si="3"/>
        <v>-0.74855308715987579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0.51391356507287844</v>
      </c>
      <c r="D29" s="9">
        <f t="shared" si="1"/>
        <v>0.62572345642006211</v>
      </c>
      <c r="E29" s="11">
        <f t="shared" si="2"/>
        <v>-0.37427654357993789</v>
      </c>
      <c r="F29" s="13">
        <f t="shared" si="3"/>
        <v>-0.74855308715987579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0.69949926204979129</v>
      </c>
      <c r="D30" s="9">
        <f t="shared" si="1"/>
        <v>0.66807674277010454</v>
      </c>
      <c r="E30" s="11">
        <f t="shared" si="2"/>
        <v>0.66807674277010454</v>
      </c>
      <c r="F30" s="13">
        <f t="shared" si="3"/>
        <v>2.0042302283103135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0.3283278680959657</v>
      </c>
      <c r="D31" s="9">
        <f t="shared" si="1"/>
        <v>0.58135246585657407</v>
      </c>
      <c r="E31" s="11">
        <f t="shared" si="2"/>
        <v>0.58135246585657407</v>
      </c>
      <c r="F31" s="13">
        <f t="shared" si="3"/>
        <v>0.58135246585657407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0.3283278680959657</v>
      </c>
      <c r="D32" s="9">
        <f t="shared" si="1"/>
        <v>0.58135246585657407</v>
      </c>
      <c r="E32" s="11">
        <f t="shared" si="2"/>
        <v>-0.41864753414342593</v>
      </c>
      <c r="F32" s="13">
        <f t="shared" si="3"/>
        <v>-0.41864753414342593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0.3283278680959657</v>
      </c>
      <c r="D33" s="9">
        <f t="shared" si="1"/>
        <v>0.58135246585657407</v>
      </c>
      <c r="E33" s="11">
        <f t="shared" si="2"/>
        <v>-0.41864753414342593</v>
      </c>
      <c r="F33" s="13">
        <f t="shared" si="3"/>
        <v>-0.41864753414342593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0.51391356507287844</v>
      </c>
      <c r="D34" s="9">
        <f t="shared" si="1"/>
        <v>0.62572345642006211</v>
      </c>
      <c r="E34" s="11">
        <f t="shared" si="2"/>
        <v>-0.37427654357993789</v>
      </c>
      <c r="F34" s="13">
        <f t="shared" si="3"/>
        <v>-0.74855308715987579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0.51391356507287844</v>
      </c>
      <c r="D35" s="9">
        <f t="shared" si="1"/>
        <v>0.62572345642006211</v>
      </c>
      <c r="E35" s="11">
        <f t="shared" si="2"/>
        <v>-0.37427654357993789</v>
      </c>
      <c r="F35" s="13">
        <f t="shared" si="3"/>
        <v>-0.74855308715987579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0.51391356507287844</v>
      </c>
      <c r="D36" s="9">
        <f t="shared" si="1"/>
        <v>0.62572345642006211</v>
      </c>
      <c r="E36" s="11">
        <f t="shared" si="2"/>
        <v>-0.37427654357993789</v>
      </c>
      <c r="F36" s="13">
        <f t="shared" si="3"/>
        <v>-0.74855308715987579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0.51391356507287844</v>
      </c>
      <c r="D37" s="9">
        <f t="shared" si="1"/>
        <v>0.62572345642006211</v>
      </c>
      <c r="E37" s="11">
        <f t="shared" si="2"/>
        <v>-0.37427654357993789</v>
      </c>
      <c r="F37" s="13">
        <f t="shared" si="3"/>
        <v>-0.74855308715987579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0.51391356507287844</v>
      </c>
      <c r="D38" s="9">
        <f t="shared" si="1"/>
        <v>0.62572345642006211</v>
      </c>
      <c r="E38" s="11">
        <f t="shared" si="2"/>
        <v>-0.37427654357993789</v>
      </c>
      <c r="F38" s="13">
        <f t="shared" si="3"/>
        <v>-0.74855308715987579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0.51391356507287844</v>
      </c>
      <c r="D39" s="9">
        <f t="shared" si="1"/>
        <v>0.62572345642006211</v>
      </c>
      <c r="E39" s="11">
        <f t="shared" si="2"/>
        <v>-0.37427654357993789</v>
      </c>
      <c r="F39" s="13">
        <f t="shared" si="3"/>
        <v>-0.74855308715987579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0.3283278680959657</v>
      </c>
      <c r="D40" s="9">
        <f t="shared" si="1"/>
        <v>0.58135246585657407</v>
      </c>
      <c r="E40" s="11">
        <f t="shared" si="2"/>
        <v>-0.41864753414342593</v>
      </c>
      <c r="F40" s="13">
        <f t="shared" si="3"/>
        <v>-0.41864753414342593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0.3283278680959657</v>
      </c>
      <c r="D41" s="9">
        <f t="shared" si="1"/>
        <v>0.58135246585657407</v>
      </c>
      <c r="E41" s="11">
        <f t="shared" si="2"/>
        <v>0.58135246585657407</v>
      </c>
      <c r="F41" s="13">
        <f t="shared" si="3"/>
        <v>0.58135246585657407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0.69949926204979129</v>
      </c>
      <c r="D42" s="9">
        <f t="shared" si="1"/>
        <v>0.66807674277010454</v>
      </c>
      <c r="E42" s="11">
        <f t="shared" si="2"/>
        <v>-0.33192325722989546</v>
      </c>
      <c r="F42" s="13">
        <f t="shared" si="3"/>
        <v>-0.99576977168968639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0.69949926204979129</v>
      </c>
      <c r="D43" s="9">
        <f t="shared" si="1"/>
        <v>0.66807674277010454</v>
      </c>
      <c r="E43" s="11">
        <f t="shared" si="2"/>
        <v>-0.33192325722989546</v>
      </c>
      <c r="F43" s="13">
        <f t="shared" si="3"/>
        <v>-0.99576977168968639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0.69949926204979129</v>
      </c>
      <c r="D44" s="9">
        <f t="shared" si="1"/>
        <v>0.66807674277010454</v>
      </c>
      <c r="E44" s="11">
        <f t="shared" si="2"/>
        <v>-0.33192325722989546</v>
      </c>
      <c r="F44" s="13">
        <f t="shared" si="3"/>
        <v>-0.99576977168968639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0.3283278680959657</v>
      </c>
      <c r="D45" s="9">
        <f t="shared" si="1"/>
        <v>0.58135246585657407</v>
      </c>
      <c r="E45" s="11">
        <f t="shared" si="2"/>
        <v>-0.41864753414342593</v>
      </c>
      <c r="F45" s="13">
        <f t="shared" si="3"/>
        <v>-0.41864753414342593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0.51391356507287844</v>
      </c>
      <c r="D46" s="9">
        <f t="shared" si="1"/>
        <v>0.62572345642006211</v>
      </c>
      <c r="E46" s="11">
        <f t="shared" si="2"/>
        <v>-0.37427654357993789</v>
      </c>
      <c r="F46" s="13">
        <f t="shared" si="3"/>
        <v>-0.74855308715987579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0.3283278680959657</v>
      </c>
      <c r="D47" s="9">
        <f t="shared" si="1"/>
        <v>0.58135246585657407</v>
      </c>
      <c r="E47" s="11">
        <f t="shared" si="2"/>
        <v>-0.41864753414342593</v>
      </c>
      <c r="F47" s="13">
        <f t="shared" si="3"/>
        <v>-0.41864753414342593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0.51391356507287844</v>
      </c>
      <c r="D48" s="9">
        <f t="shared" si="1"/>
        <v>0.62572345642006211</v>
      </c>
      <c r="E48" s="11">
        <f t="shared" si="2"/>
        <v>-0.37427654357993789</v>
      </c>
      <c r="F48" s="13">
        <f t="shared" si="3"/>
        <v>-0.74855308715987579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0.3283278680959657</v>
      </c>
      <c r="D49" s="9">
        <f t="shared" si="1"/>
        <v>0.58135246585657407</v>
      </c>
      <c r="E49" s="11">
        <f t="shared" si="2"/>
        <v>-0.41864753414342593</v>
      </c>
      <c r="F49" s="13">
        <f t="shared" si="3"/>
        <v>-0.41864753414342593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0.51391356507287844</v>
      </c>
      <c r="D50" s="9">
        <f t="shared" si="1"/>
        <v>0.62572345642006211</v>
      </c>
      <c r="E50" s="11">
        <f t="shared" si="2"/>
        <v>0.62572345642006211</v>
      </c>
      <c r="F50" s="13">
        <f t="shared" si="3"/>
        <v>1.2514469128401242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0.51391356507287844</v>
      </c>
      <c r="D51" s="9">
        <f t="shared" si="1"/>
        <v>0.62572345642006211</v>
      </c>
      <c r="E51" s="11">
        <f t="shared" si="2"/>
        <v>0.62572345642006211</v>
      </c>
      <c r="F51" s="13">
        <f t="shared" si="3"/>
        <v>1.2514469128401242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0.51391356507287844</v>
      </c>
      <c r="D52" s="9">
        <f t="shared" si="1"/>
        <v>0.62572345642006211</v>
      </c>
      <c r="E52" s="11">
        <f t="shared" si="2"/>
        <v>-0.37427654357993789</v>
      </c>
      <c r="F52" s="13">
        <f t="shared" si="3"/>
        <v>-0.74855308715987579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0.88508495902670403</v>
      </c>
      <c r="D53" s="9">
        <f t="shared" si="1"/>
        <v>0.70787484024628045</v>
      </c>
      <c r="E53" s="11">
        <f t="shared" si="2"/>
        <v>-0.29212515975371955</v>
      </c>
      <c r="F53" s="13">
        <f t="shared" si="3"/>
        <v>-1.1685006390148782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0.51391356507287844</v>
      </c>
      <c r="D54" s="9">
        <f t="shared" si="1"/>
        <v>0.62572345642006211</v>
      </c>
      <c r="E54" s="11">
        <f t="shared" si="2"/>
        <v>-0.37427654357993789</v>
      </c>
      <c r="F54" s="13">
        <f t="shared" si="3"/>
        <v>-0.74855308715987579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0.51391356507287844</v>
      </c>
      <c r="D55" s="9">
        <f t="shared" si="1"/>
        <v>0.62572345642006211</v>
      </c>
      <c r="E55" s="11">
        <f t="shared" si="2"/>
        <v>-0.37427654357993789</v>
      </c>
      <c r="F55" s="13">
        <f t="shared" si="3"/>
        <v>-0.74855308715987579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-0.17739344763391368</v>
      </c>
      <c r="B58" s="17">
        <f>AVERAGE(F6:F55)</f>
        <v>-0.35073126393746856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0.22065882337065962</v>
      </c>
      <c r="B61" s="15">
        <f>F2-$F$3*A58</f>
        <v>0.16048151588244428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73CC-B862-42C9-968A-449261B1DFB7}">
  <dimension ref="A1:F61"/>
  <sheetViews>
    <sheetView topLeftCell="A44" zoomScale="115" zoomScaleNormal="115" workbookViewId="0">
      <selection activeCell="A60" sqref="A60:B61"/>
    </sheetView>
  </sheetViews>
  <sheetFormatPr defaultColWidth="14.88671875" defaultRowHeight="13.8" x14ac:dyDescent="0.3"/>
  <cols>
    <col min="1" max="16384" width="14.88671875" style="1"/>
  </cols>
  <sheetData>
    <row r="1" spans="1:6" x14ac:dyDescent="0.25">
      <c r="E1" s="19" t="s">
        <v>3</v>
      </c>
      <c r="F1" s="18">
        <f>ITERASI_3!A61</f>
        <v>0.22065882337065962</v>
      </c>
    </row>
    <row r="2" spans="1:6" x14ac:dyDescent="0.25">
      <c r="E2" s="19" t="s">
        <v>4</v>
      </c>
      <c r="F2" s="18">
        <f>ITERASI_3!B61</f>
        <v>0.16048151588244428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0.60179916262376354</v>
      </c>
      <c r="D6" s="9">
        <f>1/(1+EXP(-C6))</f>
        <v>0.64606781832851889</v>
      </c>
      <c r="E6" s="11">
        <f>D6-B6</f>
        <v>0.64606781832851889</v>
      </c>
      <c r="F6" s="13">
        <f>E6*A6</f>
        <v>1.2921356366570378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0.60179916262376354</v>
      </c>
      <c r="D7" s="9">
        <f t="shared" ref="D7:D55" si="1">1/(1+EXP(-C7))</f>
        <v>0.64606781832851889</v>
      </c>
      <c r="E7" s="11">
        <f t="shared" ref="E7:E55" si="2">D7-B7</f>
        <v>0.64606781832851889</v>
      </c>
      <c r="F7" s="13">
        <f t="shared" ref="F7:F55" si="3">E7*A7</f>
        <v>1.2921356366570378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0.60179916262376354</v>
      </c>
      <c r="D8" s="9">
        <f t="shared" si="1"/>
        <v>0.64606781832851889</v>
      </c>
      <c r="E8" s="11">
        <f t="shared" si="2"/>
        <v>-0.35393218167148111</v>
      </c>
      <c r="F8" s="13">
        <f t="shared" si="3"/>
        <v>-0.70786436334296221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0.8224579859944231</v>
      </c>
      <c r="D9" s="9">
        <f t="shared" si="1"/>
        <v>0.69475785306262861</v>
      </c>
      <c r="E9" s="11">
        <f t="shared" si="2"/>
        <v>-0.30524214693737139</v>
      </c>
      <c r="F9" s="13">
        <f t="shared" si="3"/>
        <v>-0.91572644081211418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0.60179916262376354</v>
      </c>
      <c r="D10" s="9">
        <f t="shared" si="1"/>
        <v>0.64606781832851889</v>
      </c>
      <c r="E10" s="11">
        <f t="shared" si="2"/>
        <v>-0.35393218167148111</v>
      </c>
      <c r="F10" s="13">
        <f t="shared" si="3"/>
        <v>-0.70786436334296221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0.60179916262376354</v>
      </c>
      <c r="D11" s="9">
        <f t="shared" si="1"/>
        <v>0.64606781832851889</v>
      </c>
      <c r="E11" s="11">
        <f t="shared" si="2"/>
        <v>-0.35393218167148111</v>
      </c>
      <c r="F11" s="13">
        <f t="shared" si="3"/>
        <v>-0.70786436334296221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0.60179916262376354</v>
      </c>
      <c r="D12" s="9">
        <f t="shared" si="1"/>
        <v>0.64606781832851889</v>
      </c>
      <c r="E12" s="11">
        <f t="shared" si="2"/>
        <v>-0.35393218167148111</v>
      </c>
      <c r="F12" s="13">
        <f t="shared" si="3"/>
        <v>-0.70786436334296221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0.60179916262376354</v>
      </c>
      <c r="D13" s="9">
        <f t="shared" si="1"/>
        <v>0.64606781832851889</v>
      </c>
      <c r="E13" s="11">
        <f t="shared" si="2"/>
        <v>0.64606781832851889</v>
      </c>
      <c r="F13" s="13">
        <f t="shared" si="3"/>
        <v>1.2921356366570378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0.60179916262376354</v>
      </c>
      <c r="D14" s="9">
        <f t="shared" si="1"/>
        <v>0.64606781832851889</v>
      </c>
      <c r="E14" s="11">
        <f t="shared" si="2"/>
        <v>-0.35393218167148111</v>
      </c>
      <c r="F14" s="13">
        <f t="shared" si="3"/>
        <v>-0.70786436334296221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0.60179916262376354</v>
      </c>
      <c r="D15" s="9">
        <f t="shared" si="1"/>
        <v>0.64606781832851889</v>
      </c>
      <c r="E15" s="11">
        <f t="shared" si="2"/>
        <v>-0.35393218167148111</v>
      </c>
      <c r="F15" s="13">
        <f t="shared" si="3"/>
        <v>-0.70786436334296221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0.60179916262376354</v>
      </c>
      <c r="D16" s="9">
        <f t="shared" si="1"/>
        <v>0.64606781832851889</v>
      </c>
      <c r="E16" s="11">
        <f t="shared" si="2"/>
        <v>0.64606781832851889</v>
      </c>
      <c r="F16" s="13">
        <f t="shared" si="3"/>
        <v>1.2921356366570378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0.8224579859944231</v>
      </c>
      <c r="D17" s="9">
        <f t="shared" si="1"/>
        <v>0.69475785306262861</v>
      </c>
      <c r="E17" s="11">
        <f t="shared" si="2"/>
        <v>-0.30524214693737139</v>
      </c>
      <c r="F17" s="13">
        <f t="shared" si="3"/>
        <v>-0.91572644081211418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0.38114033925310387</v>
      </c>
      <c r="D18" s="9">
        <f t="shared" si="1"/>
        <v>0.59414810942761642</v>
      </c>
      <c r="E18" s="11">
        <f t="shared" si="2"/>
        <v>-0.40585189057238358</v>
      </c>
      <c r="F18" s="13">
        <f t="shared" si="3"/>
        <v>-0.40585189057238358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0.60179916262376354</v>
      </c>
      <c r="D19" s="9">
        <f t="shared" si="1"/>
        <v>0.64606781832851889</v>
      </c>
      <c r="E19" s="11">
        <f t="shared" si="2"/>
        <v>-0.35393218167148111</v>
      </c>
      <c r="F19" s="13">
        <f t="shared" si="3"/>
        <v>-0.70786436334296221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0.8224579859944231</v>
      </c>
      <c r="D20" s="9">
        <f t="shared" si="1"/>
        <v>0.69475785306262861</v>
      </c>
      <c r="E20" s="11">
        <f t="shared" si="2"/>
        <v>-0.30524214693737139</v>
      </c>
      <c r="F20" s="13">
        <f t="shared" si="3"/>
        <v>-0.91572644081211418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0.38114033925310387</v>
      </c>
      <c r="D21" s="9">
        <f t="shared" si="1"/>
        <v>0.59414810942761642</v>
      </c>
      <c r="E21" s="11">
        <f t="shared" si="2"/>
        <v>-0.40585189057238358</v>
      </c>
      <c r="F21" s="13">
        <f t="shared" si="3"/>
        <v>-0.40585189057238358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0.8224579859944231</v>
      </c>
      <c r="D22" s="9">
        <f t="shared" si="1"/>
        <v>0.69475785306262861</v>
      </c>
      <c r="E22" s="11">
        <f t="shared" si="2"/>
        <v>-0.30524214693737139</v>
      </c>
      <c r="F22" s="13">
        <f t="shared" si="3"/>
        <v>-0.91572644081211418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0.60179916262376354</v>
      </c>
      <c r="D23" s="9">
        <f t="shared" si="1"/>
        <v>0.64606781832851889</v>
      </c>
      <c r="E23" s="11">
        <f t="shared" si="2"/>
        <v>-0.35393218167148111</v>
      </c>
      <c r="F23" s="13">
        <f t="shared" si="3"/>
        <v>-0.70786436334296221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0.38114033925310387</v>
      </c>
      <c r="D24" s="9">
        <f t="shared" si="1"/>
        <v>0.59414810942761642</v>
      </c>
      <c r="E24" s="11">
        <f t="shared" si="2"/>
        <v>0.59414810942761642</v>
      </c>
      <c r="F24" s="13">
        <f t="shared" si="3"/>
        <v>0.59414810942761642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0.38114033925310387</v>
      </c>
      <c r="D25" s="9">
        <f t="shared" si="1"/>
        <v>0.59414810942761642</v>
      </c>
      <c r="E25" s="11">
        <f t="shared" si="2"/>
        <v>-0.40585189057238358</v>
      </c>
      <c r="F25" s="13">
        <f t="shared" si="3"/>
        <v>-0.40585189057238358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0.60179916262376354</v>
      </c>
      <c r="D26" s="9">
        <f t="shared" si="1"/>
        <v>0.64606781832851889</v>
      </c>
      <c r="E26" s="11">
        <f t="shared" si="2"/>
        <v>-0.35393218167148111</v>
      </c>
      <c r="F26" s="13">
        <f t="shared" si="3"/>
        <v>-0.70786436334296221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0.38114033925310387</v>
      </c>
      <c r="D27" s="9">
        <f t="shared" si="1"/>
        <v>0.59414810942761642</v>
      </c>
      <c r="E27" s="11">
        <f t="shared" si="2"/>
        <v>-0.40585189057238358</v>
      </c>
      <c r="F27" s="13">
        <f t="shared" si="3"/>
        <v>-0.40585189057238358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0.60179916262376354</v>
      </c>
      <c r="D28" s="9">
        <f t="shared" si="1"/>
        <v>0.64606781832851889</v>
      </c>
      <c r="E28" s="11">
        <f t="shared" si="2"/>
        <v>-0.35393218167148111</v>
      </c>
      <c r="F28" s="13">
        <f t="shared" si="3"/>
        <v>-0.70786436334296221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0.60179916262376354</v>
      </c>
      <c r="D29" s="9">
        <f t="shared" si="1"/>
        <v>0.64606781832851889</v>
      </c>
      <c r="E29" s="11">
        <f t="shared" si="2"/>
        <v>-0.35393218167148111</v>
      </c>
      <c r="F29" s="13">
        <f t="shared" si="3"/>
        <v>-0.70786436334296221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0.8224579859944231</v>
      </c>
      <c r="D30" s="9">
        <f t="shared" si="1"/>
        <v>0.69475785306262861</v>
      </c>
      <c r="E30" s="11">
        <f t="shared" si="2"/>
        <v>0.69475785306262861</v>
      </c>
      <c r="F30" s="13">
        <f t="shared" si="3"/>
        <v>2.0842735591878858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0.38114033925310387</v>
      </c>
      <c r="D31" s="9">
        <f t="shared" si="1"/>
        <v>0.59414810942761642</v>
      </c>
      <c r="E31" s="11">
        <f t="shared" si="2"/>
        <v>0.59414810942761642</v>
      </c>
      <c r="F31" s="13">
        <f t="shared" si="3"/>
        <v>0.59414810942761642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0.38114033925310387</v>
      </c>
      <c r="D32" s="9">
        <f t="shared" si="1"/>
        <v>0.59414810942761642</v>
      </c>
      <c r="E32" s="11">
        <f t="shared" si="2"/>
        <v>-0.40585189057238358</v>
      </c>
      <c r="F32" s="13">
        <f t="shared" si="3"/>
        <v>-0.40585189057238358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0.38114033925310387</v>
      </c>
      <c r="D33" s="9">
        <f t="shared" si="1"/>
        <v>0.59414810942761642</v>
      </c>
      <c r="E33" s="11">
        <f t="shared" si="2"/>
        <v>-0.40585189057238358</v>
      </c>
      <c r="F33" s="13">
        <f t="shared" si="3"/>
        <v>-0.40585189057238358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0.60179916262376354</v>
      </c>
      <c r="D34" s="9">
        <f t="shared" si="1"/>
        <v>0.64606781832851889</v>
      </c>
      <c r="E34" s="11">
        <f t="shared" si="2"/>
        <v>-0.35393218167148111</v>
      </c>
      <c r="F34" s="13">
        <f t="shared" si="3"/>
        <v>-0.70786436334296221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0.60179916262376354</v>
      </c>
      <c r="D35" s="9">
        <f t="shared" si="1"/>
        <v>0.64606781832851889</v>
      </c>
      <c r="E35" s="11">
        <f t="shared" si="2"/>
        <v>-0.35393218167148111</v>
      </c>
      <c r="F35" s="13">
        <f t="shared" si="3"/>
        <v>-0.70786436334296221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0.60179916262376354</v>
      </c>
      <c r="D36" s="9">
        <f t="shared" si="1"/>
        <v>0.64606781832851889</v>
      </c>
      <c r="E36" s="11">
        <f t="shared" si="2"/>
        <v>-0.35393218167148111</v>
      </c>
      <c r="F36" s="13">
        <f t="shared" si="3"/>
        <v>-0.70786436334296221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0.60179916262376354</v>
      </c>
      <c r="D37" s="9">
        <f t="shared" si="1"/>
        <v>0.64606781832851889</v>
      </c>
      <c r="E37" s="11">
        <f t="shared" si="2"/>
        <v>-0.35393218167148111</v>
      </c>
      <c r="F37" s="13">
        <f t="shared" si="3"/>
        <v>-0.70786436334296221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0.60179916262376354</v>
      </c>
      <c r="D38" s="9">
        <f t="shared" si="1"/>
        <v>0.64606781832851889</v>
      </c>
      <c r="E38" s="11">
        <f t="shared" si="2"/>
        <v>-0.35393218167148111</v>
      </c>
      <c r="F38" s="13">
        <f t="shared" si="3"/>
        <v>-0.70786436334296221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0.60179916262376354</v>
      </c>
      <c r="D39" s="9">
        <f t="shared" si="1"/>
        <v>0.64606781832851889</v>
      </c>
      <c r="E39" s="11">
        <f t="shared" si="2"/>
        <v>-0.35393218167148111</v>
      </c>
      <c r="F39" s="13">
        <f t="shared" si="3"/>
        <v>-0.70786436334296221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0.38114033925310387</v>
      </c>
      <c r="D40" s="9">
        <f t="shared" si="1"/>
        <v>0.59414810942761642</v>
      </c>
      <c r="E40" s="11">
        <f t="shared" si="2"/>
        <v>-0.40585189057238358</v>
      </c>
      <c r="F40" s="13">
        <f t="shared" si="3"/>
        <v>-0.40585189057238358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0.38114033925310387</v>
      </c>
      <c r="D41" s="9">
        <f t="shared" si="1"/>
        <v>0.59414810942761642</v>
      </c>
      <c r="E41" s="11">
        <f t="shared" si="2"/>
        <v>0.59414810942761642</v>
      </c>
      <c r="F41" s="13">
        <f t="shared" si="3"/>
        <v>0.59414810942761642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0.8224579859944231</v>
      </c>
      <c r="D42" s="9">
        <f t="shared" si="1"/>
        <v>0.69475785306262861</v>
      </c>
      <c r="E42" s="11">
        <f t="shared" si="2"/>
        <v>-0.30524214693737139</v>
      </c>
      <c r="F42" s="13">
        <f t="shared" si="3"/>
        <v>-0.91572644081211418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0.8224579859944231</v>
      </c>
      <c r="D43" s="9">
        <f t="shared" si="1"/>
        <v>0.69475785306262861</v>
      </c>
      <c r="E43" s="11">
        <f t="shared" si="2"/>
        <v>-0.30524214693737139</v>
      </c>
      <c r="F43" s="13">
        <f t="shared" si="3"/>
        <v>-0.91572644081211418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0.8224579859944231</v>
      </c>
      <c r="D44" s="9">
        <f t="shared" si="1"/>
        <v>0.69475785306262861</v>
      </c>
      <c r="E44" s="11">
        <f t="shared" si="2"/>
        <v>-0.30524214693737139</v>
      </c>
      <c r="F44" s="13">
        <f t="shared" si="3"/>
        <v>-0.91572644081211418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0.38114033925310387</v>
      </c>
      <c r="D45" s="9">
        <f t="shared" si="1"/>
        <v>0.59414810942761642</v>
      </c>
      <c r="E45" s="11">
        <f t="shared" si="2"/>
        <v>-0.40585189057238358</v>
      </c>
      <c r="F45" s="13">
        <f t="shared" si="3"/>
        <v>-0.40585189057238358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0.60179916262376354</v>
      </c>
      <c r="D46" s="9">
        <f t="shared" si="1"/>
        <v>0.64606781832851889</v>
      </c>
      <c r="E46" s="11">
        <f t="shared" si="2"/>
        <v>-0.35393218167148111</v>
      </c>
      <c r="F46" s="13">
        <f t="shared" si="3"/>
        <v>-0.70786436334296221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0.38114033925310387</v>
      </c>
      <c r="D47" s="9">
        <f t="shared" si="1"/>
        <v>0.59414810942761642</v>
      </c>
      <c r="E47" s="11">
        <f t="shared" si="2"/>
        <v>-0.40585189057238358</v>
      </c>
      <c r="F47" s="13">
        <f t="shared" si="3"/>
        <v>-0.40585189057238358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0.60179916262376354</v>
      </c>
      <c r="D48" s="9">
        <f t="shared" si="1"/>
        <v>0.64606781832851889</v>
      </c>
      <c r="E48" s="11">
        <f t="shared" si="2"/>
        <v>-0.35393218167148111</v>
      </c>
      <c r="F48" s="13">
        <f t="shared" si="3"/>
        <v>-0.70786436334296221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0.38114033925310387</v>
      </c>
      <c r="D49" s="9">
        <f t="shared" si="1"/>
        <v>0.59414810942761642</v>
      </c>
      <c r="E49" s="11">
        <f t="shared" si="2"/>
        <v>-0.40585189057238358</v>
      </c>
      <c r="F49" s="13">
        <f t="shared" si="3"/>
        <v>-0.40585189057238358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0.60179916262376354</v>
      </c>
      <c r="D50" s="9">
        <f t="shared" si="1"/>
        <v>0.64606781832851889</v>
      </c>
      <c r="E50" s="11">
        <f t="shared" si="2"/>
        <v>0.64606781832851889</v>
      </c>
      <c r="F50" s="13">
        <f t="shared" si="3"/>
        <v>1.2921356366570378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0.60179916262376354</v>
      </c>
      <c r="D51" s="9">
        <f t="shared" si="1"/>
        <v>0.64606781832851889</v>
      </c>
      <c r="E51" s="11">
        <f t="shared" si="2"/>
        <v>0.64606781832851889</v>
      </c>
      <c r="F51" s="13">
        <f t="shared" si="3"/>
        <v>1.2921356366570378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0.60179916262376354</v>
      </c>
      <c r="D52" s="9">
        <f t="shared" si="1"/>
        <v>0.64606781832851889</v>
      </c>
      <c r="E52" s="11">
        <f t="shared" si="2"/>
        <v>-0.35393218167148111</v>
      </c>
      <c r="F52" s="13">
        <f t="shared" si="3"/>
        <v>-0.70786436334296221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1.0431168093650827</v>
      </c>
      <c r="D53" s="9">
        <f t="shared" si="1"/>
        <v>0.73945094869564465</v>
      </c>
      <c r="E53" s="11">
        <f t="shared" si="2"/>
        <v>-0.26054905130435535</v>
      </c>
      <c r="F53" s="13">
        <f t="shared" si="3"/>
        <v>-1.0421962052174214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0.60179916262376354</v>
      </c>
      <c r="D54" s="9">
        <f t="shared" si="1"/>
        <v>0.64606781832851889</v>
      </c>
      <c r="E54" s="11">
        <f t="shared" si="2"/>
        <v>-0.35393218167148111</v>
      </c>
      <c r="F54" s="13">
        <f t="shared" si="3"/>
        <v>-0.70786436334296221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0.60179916262376354</v>
      </c>
      <c r="D55" s="9">
        <f t="shared" si="1"/>
        <v>0.64606781832851889</v>
      </c>
      <c r="E55" s="11">
        <f t="shared" si="2"/>
        <v>-0.35393218167148111</v>
      </c>
      <c r="F55" s="13">
        <f t="shared" si="3"/>
        <v>-0.70786436334296221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-0.15777323782091562</v>
      </c>
      <c r="B58" s="17">
        <f>AVERAGE(F6:F55)</f>
        <v>-0.30928568965516523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0.25158739233617616</v>
      </c>
      <c r="B61" s="15">
        <f>F2-$F$3*A58</f>
        <v>0.17625883966453584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926F-735B-424F-92B4-56C1421BED17}">
  <dimension ref="A1:J61"/>
  <sheetViews>
    <sheetView tabSelected="1" zoomScale="115" zoomScaleNormal="115" workbookViewId="0">
      <selection activeCell="K7" sqref="K7"/>
    </sheetView>
  </sheetViews>
  <sheetFormatPr defaultColWidth="14.88671875" defaultRowHeight="13.8" x14ac:dyDescent="0.3"/>
  <cols>
    <col min="1" max="16384" width="14.88671875" style="1"/>
  </cols>
  <sheetData>
    <row r="1" spans="1:10" x14ac:dyDescent="0.25">
      <c r="E1" s="19" t="s">
        <v>3</v>
      </c>
      <c r="F1" s="18">
        <f>ITERASI_4!A61</f>
        <v>0.25158739233617616</v>
      </c>
    </row>
    <row r="2" spans="1:10" x14ac:dyDescent="0.25">
      <c r="E2" s="19" t="s">
        <v>4</v>
      </c>
      <c r="F2" s="18">
        <f>ITERASI_4!B61</f>
        <v>0.17625883966453584</v>
      </c>
    </row>
    <row r="3" spans="1:10" x14ac:dyDescent="0.3">
      <c r="E3" s="19" t="s">
        <v>5</v>
      </c>
      <c r="F3" s="3">
        <v>0.1</v>
      </c>
    </row>
    <row r="5" spans="1:10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  <c r="H5" s="22" t="s">
        <v>15</v>
      </c>
      <c r="I5" s="22" t="s">
        <v>16</v>
      </c>
      <c r="J5" s="22" t="s">
        <v>17</v>
      </c>
    </row>
    <row r="6" spans="1:10" ht="14.4" x14ac:dyDescent="0.3">
      <c r="A6" s="4">
        <f>DATASET_ICAL!A2</f>
        <v>2</v>
      </c>
      <c r="B6" s="4">
        <f>DATASET_ICAL!C2</f>
        <v>0</v>
      </c>
      <c r="C6" s="7">
        <f>$F$1*A6+$F$2</f>
        <v>0.67943362433688814</v>
      </c>
      <c r="D6" s="9">
        <f>1/(1+EXP(-C6))</f>
        <v>0.66361227650398691</v>
      </c>
      <c r="E6" s="11">
        <f>D6-B6</f>
        <v>0.66361227650398691</v>
      </c>
      <c r="F6" s="13">
        <f>E6*A6</f>
        <v>1.3272245530079738</v>
      </c>
      <c r="H6" s="21">
        <f>IF(D6&gt;=0.5,1,0)</f>
        <v>1</v>
      </c>
      <c r="I6" s="21">
        <f>IF(H6=B6,1,0)</f>
        <v>0</v>
      </c>
      <c r="J6" s="20">
        <f>AVERAGE(I6:I55)</f>
        <v>0.8</v>
      </c>
    </row>
    <row r="7" spans="1:10" ht="14.4" x14ac:dyDescent="0.3">
      <c r="A7" s="4">
        <f>DATASET_ICAL!A3</f>
        <v>2</v>
      </c>
      <c r="B7" s="4">
        <f>DATASET_ICAL!C3</f>
        <v>0</v>
      </c>
      <c r="C7" s="7">
        <f t="shared" ref="C7:C55" si="0">$F$1*A7+$F$2</f>
        <v>0.67943362433688814</v>
      </c>
      <c r="D7" s="9">
        <f t="shared" ref="D7:D55" si="1">1/(1+EXP(-C7))</f>
        <v>0.66361227650398691</v>
      </c>
      <c r="E7" s="11">
        <f t="shared" ref="E7:E55" si="2">D7-B7</f>
        <v>0.66361227650398691</v>
      </c>
      <c r="F7" s="13">
        <f t="shared" ref="F7:F55" si="3">E7*A7</f>
        <v>1.3272245530079738</v>
      </c>
      <c r="H7" s="21">
        <f t="shared" ref="H7:H55" si="4">IF(D7&gt;=0.5,1,0)</f>
        <v>1</v>
      </c>
      <c r="I7" s="21">
        <f t="shared" ref="I7:I55" si="5">IF(H7=B7,1,0)</f>
        <v>0</v>
      </c>
    </row>
    <row r="8" spans="1:10" ht="14.4" x14ac:dyDescent="0.3">
      <c r="A8" s="4">
        <f>DATASET_ICAL!A4</f>
        <v>2</v>
      </c>
      <c r="B8" s="4">
        <f>DATASET_ICAL!C4</f>
        <v>1</v>
      </c>
      <c r="C8" s="7">
        <f t="shared" si="0"/>
        <v>0.67943362433688814</v>
      </c>
      <c r="D8" s="9">
        <f t="shared" si="1"/>
        <v>0.66361227650398691</v>
      </c>
      <c r="E8" s="11">
        <f t="shared" si="2"/>
        <v>-0.33638772349601309</v>
      </c>
      <c r="F8" s="13">
        <f t="shared" si="3"/>
        <v>-0.67277544699202618</v>
      </c>
      <c r="H8" s="21">
        <f t="shared" si="4"/>
        <v>1</v>
      </c>
      <c r="I8" s="21">
        <f t="shared" si="5"/>
        <v>1</v>
      </c>
    </row>
    <row r="9" spans="1:10" ht="14.4" x14ac:dyDescent="0.3">
      <c r="A9" s="4">
        <f>DATASET_ICAL!A5</f>
        <v>3</v>
      </c>
      <c r="B9" s="4">
        <f>DATASET_ICAL!C5</f>
        <v>1</v>
      </c>
      <c r="C9" s="7">
        <f t="shared" si="0"/>
        <v>0.93102101667306425</v>
      </c>
      <c r="D9" s="9">
        <f t="shared" si="1"/>
        <v>0.71728238172245429</v>
      </c>
      <c r="E9" s="11">
        <f t="shared" si="2"/>
        <v>-0.28271761827754571</v>
      </c>
      <c r="F9" s="13">
        <f t="shared" si="3"/>
        <v>-0.84815285483263714</v>
      </c>
      <c r="H9" s="21">
        <f t="shared" si="4"/>
        <v>1</v>
      </c>
      <c r="I9" s="21">
        <f t="shared" si="5"/>
        <v>1</v>
      </c>
    </row>
    <row r="10" spans="1:10" ht="14.4" x14ac:dyDescent="0.3">
      <c r="A10" s="4">
        <f>DATASET_ICAL!A6</f>
        <v>2</v>
      </c>
      <c r="B10" s="4">
        <f>DATASET_ICAL!C6</f>
        <v>1</v>
      </c>
      <c r="C10" s="7">
        <f t="shared" si="0"/>
        <v>0.67943362433688814</v>
      </c>
      <c r="D10" s="9">
        <f t="shared" si="1"/>
        <v>0.66361227650398691</v>
      </c>
      <c r="E10" s="11">
        <f t="shared" si="2"/>
        <v>-0.33638772349601309</v>
      </c>
      <c r="F10" s="13">
        <f t="shared" si="3"/>
        <v>-0.67277544699202618</v>
      </c>
      <c r="H10" s="21">
        <f t="shared" si="4"/>
        <v>1</v>
      </c>
      <c r="I10" s="21">
        <f t="shared" si="5"/>
        <v>1</v>
      </c>
    </row>
    <row r="11" spans="1:10" ht="14.4" x14ac:dyDescent="0.3">
      <c r="A11" s="4">
        <f>DATASET_ICAL!A7</f>
        <v>2</v>
      </c>
      <c r="B11" s="4">
        <f>DATASET_ICAL!C7</f>
        <v>1</v>
      </c>
      <c r="C11" s="7">
        <f t="shared" si="0"/>
        <v>0.67943362433688814</v>
      </c>
      <c r="D11" s="9">
        <f t="shared" si="1"/>
        <v>0.66361227650398691</v>
      </c>
      <c r="E11" s="11">
        <f t="shared" si="2"/>
        <v>-0.33638772349601309</v>
      </c>
      <c r="F11" s="13">
        <f t="shared" si="3"/>
        <v>-0.67277544699202618</v>
      </c>
      <c r="H11" s="21">
        <f t="shared" si="4"/>
        <v>1</v>
      </c>
      <c r="I11" s="21">
        <f t="shared" si="5"/>
        <v>1</v>
      </c>
    </row>
    <row r="12" spans="1:10" ht="14.4" x14ac:dyDescent="0.3">
      <c r="A12" s="4">
        <f>DATASET_ICAL!A8</f>
        <v>2</v>
      </c>
      <c r="B12" s="4">
        <f>DATASET_ICAL!C8</f>
        <v>1</v>
      </c>
      <c r="C12" s="7">
        <f t="shared" si="0"/>
        <v>0.67943362433688814</v>
      </c>
      <c r="D12" s="9">
        <f t="shared" si="1"/>
        <v>0.66361227650398691</v>
      </c>
      <c r="E12" s="11">
        <f t="shared" si="2"/>
        <v>-0.33638772349601309</v>
      </c>
      <c r="F12" s="13">
        <f t="shared" si="3"/>
        <v>-0.67277544699202618</v>
      </c>
      <c r="H12" s="21">
        <f t="shared" si="4"/>
        <v>1</v>
      </c>
      <c r="I12" s="21">
        <f t="shared" si="5"/>
        <v>1</v>
      </c>
    </row>
    <row r="13" spans="1:10" ht="14.4" x14ac:dyDescent="0.3">
      <c r="A13" s="4">
        <f>DATASET_ICAL!A9</f>
        <v>2</v>
      </c>
      <c r="B13" s="4">
        <f>DATASET_ICAL!C9</f>
        <v>0</v>
      </c>
      <c r="C13" s="7">
        <f t="shared" si="0"/>
        <v>0.67943362433688814</v>
      </c>
      <c r="D13" s="9">
        <f t="shared" si="1"/>
        <v>0.66361227650398691</v>
      </c>
      <c r="E13" s="11">
        <f t="shared" si="2"/>
        <v>0.66361227650398691</v>
      </c>
      <c r="F13" s="13">
        <f t="shared" si="3"/>
        <v>1.3272245530079738</v>
      </c>
      <c r="H13" s="21">
        <f t="shared" si="4"/>
        <v>1</v>
      </c>
      <c r="I13" s="21">
        <f t="shared" si="5"/>
        <v>0</v>
      </c>
    </row>
    <row r="14" spans="1:10" ht="14.4" x14ac:dyDescent="0.3">
      <c r="A14" s="4">
        <f>DATASET_ICAL!A10</f>
        <v>2</v>
      </c>
      <c r="B14" s="4">
        <f>DATASET_ICAL!C10</f>
        <v>1</v>
      </c>
      <c r="C14" s="7">
        <f t="shared" si="0"/>
        <v>0.67943362433688814</v>
      </c>
      <c r="D14" s="9">
        <f t="shared" si="1"/>
        <v>0.66361227650398691</v>
      </c>
      <c r="E14" s="11">
        <f t="shared" si="2"/>
        <v>-0.33638772349601309</v>
      </c>
      <c r="F14" s="13">
        <f t="shared" si="3"/>
        <v>-0.67277544699202618</v>
      </c>
      <c r="H14" s="21">
        <f t="shared" si="4"/>
        <v>1</v>
      </c>
      <c r="I14" s="21">
        <f t="shared" si="5"/>
        <v>1</v>
      </c>
    </row>
    <row r="15" spans="1:10" ht="14.4" x14ac:dyDescent="0.3">
      <c r="A15" s="4">
        <f>DATASET_ICAL!A11</f>
        <v>2</v>
      </c>
      <c r="B15" s="4">
        <f>DATASET_ICAL!C11</f>
        <v>1</v>
      </c>
      <c r="C15" s="7">
        <f t="shared" si="0"/>
        <v>0.67943362433688814</v>
      </c>
      <c r="D15" s="9">
        <f t="shared" si="1"/>
        <v>0.66361227650398691</v>
      </c>
      <c r="E15" s="11">
        <f t="shared" si="2"/>
        <v>-0.33638772349601309</v>
      </c>
      <c r="F15" s="13">
        <f t="shared" si="3"/>
        <v>-0.67277544699202618</v>
      </c>
      <c r="H15" s="21">
        <f t="shared" si="4"/>
        <v>1</v>
      </c>
      <c r="I15" s="21">
        <f t="shared" si="5"/>
        <v>1</v>
      </c>
    </row>
    <row r="16" spans="1:10" ht="14.4" x14ac:dyDescent="0.3">
      <c r="A16" s="4">
        <f>DATASET_ICAL!A12</f>
        <v>2</v>
      </c>
      <c r="B16" s="4">
        <f>DATASET_ICAL!C12</f>
        <v>0</v>
      </c>
      <c r="C16" s="7">
        <f t="shared" si="0"/>
        <v>0.67943362433688814</v>
      </c>
      <c r="D16" s="9">
        <f t="shared" si="1"/>
        <v>0.66361227650398691</v>
      </c>
      <c r="E16" s="11">
        <f t="shared" si="2"/>
        <v>0.66361227650398691</v>
      </c>
      <c r="F16" s="13">
        <f t="shared" si="3"/>
        <v>1.3272245530079738</v>
      </c>
      <c r="H16" s="21">
        <f t="shared" si="4"/>
        <v>1</v>
      </c>
      <c r="I16" s="21">
        <f t="shared" si="5"/>
        <v>0</v>
      </c>
    </row>
    <row r="17" spans="1:9" ht="14.4" x14ac:dyDescent="0.3">
      <c r="A17" s="4">
        <f>DATASET_ICAL!A13</f>
        <v>3</v>
      </c>
      <c r="B17" s="4">
        <f>DATASET_ICAL!C13</f>
        <v>1</v>
      </c>
      <c r="C17" s="7">
        <f t="shared" si="0"/>
        <v>0.93102101667306425</v>
      </c>
      <c r="D17" s="9">
        <f t="shared" si="1"/>
        <v>0.71728238172245429</v>
      </c>
      <c r="E17" s="11">
        <f t="shared" si="2"/>
        <v>-0.28271761827754571</v>
      </c>
      <c r="F17" s="13">
        <f t="shared" si="3"/>
        <v>-0.84815285483263714</v>
      </c>
      <c r="H17" s="21">
        <f t="shared" si="4"/>
        <v>1</v>
      </c>
      <c r="I17" s="21">
        <f t="shared" si="5"/>
        <v>1</v>
      </c>
    </row>
    <row r="18" spans="1:9" ht="14.4" x14ac:dyDescent="0.3">
      <c r="A18" s="4">
        <f>DATASET_ICAL!A14</f>
        <v>1</v>
      </c>
      <c r="B18" s="4">
        <f>DATASET_ICAL!C14</f>
        <v>1</v>
      </c>
      <c r="C18" s="7">
        <f t="shared" si="0"/>
        <v>0.42784623200071203</v>
      </c>
      <c r="D18" s="9">
        <f t="shared" si="1"/>
        <v>0.60535925141842806</v>
      </c>
      <c r="E18" s="11">
        <f t="shared" si="2"/>
        <v>-0.39464074858157194</v>
      </c>
      <c r="F18" s="13">
        <f t="shared" si="3"/>
        <v>-0.39464074858157194</v>
      </c>
      <c r="H18" s="21">
        <f t="shared" si="4"/>
        <v>1</v>
      </c>
      <c r="I18" s="21">
        <f t="shared" si="5"/>
        <v>1</v>
      </c>
    </row>
    <row r="19" spans="1:9" ht="14.4" x14ac:dyDescent="0.3">
      <c r="A19" s="4">
        <f>DATASET_ICAL!A15</f>
        <v>2</v>
      </c>
      <c r="B19" s="4">
        <f>DATASET_ICAL!C15</f>
        <v>1</v>
      </c>
      <c r="C19" s="7">
        <f t="shared" si="0"/>
        <v>0.67943362433688814</v>
      </c>
      <c r="D19" s="9">
        <f t="shared" si="1"/>
        <v>0.66361227650398691</v>
      </c>
      <c r="E19" s="11">
        <f t="shared" si="2"/>
        <v>-0.33638772349601309</v>
      </c>
      <c r="F19" s="13">
        <f t="shared" si="3"/>
        <v>-0.67277544699202618</v>
      </c>
      <c r="H19" s="21">
        <f t="shared" si="4"/>
        <v>1</v>
      </c>
      <c r="I19" s="21">
        <f t="shared" si="5"/>
        <v>1</v>
      </c>
    </row>
    <row r="20" spans="1:9" ht="14.4" x14ac:dyDescent="0.3">
      <c r="A20" s="4">
        <f>DATASET_ICAL!A16</f>
        <v>3</v>
      </c>
      <c r="B20" s="4">
        <f>DATASET_ICAL!C16</f>
        <v>1</v>
      </c>
      <c r="C20" s="7">
        <f t="shared" si="0"/>
        <v>0.93102101667306425</v>
      </c>
      <c r="D20" s="9">
        <f t="shared" si="1"/>
        <v>0.71728238172245429</v>
      </c>
      <c r="E20" s="11">
        <f t="shared" si="2"/>
        <v>-0.28271761827754571</v>
      </c>
      <c r="F20" s="13">
        <f t="shared" si="3"/>
        <v>-0.84815285483263714</v>
      </c>
      <c r="H20" s="21">
        <f t="shared" si="4"/>
        <v>1</v>
      </c>
      <c r="I20" s="21">
        <f t="shared" si="5"/>
        <v>1</v>
      </c>
    </row>
    <row r="21" spans="1:9" ht="14.4" x14ac:dyDescent="0.3">
      <c r="A21" s="4">
        <f>DATASET_ICAL!A17</f>
        <v>1</v>
      </c>
      <c r="B21" s="4">
        <f>DATASET_ICAL!C17</f>
        <v>1</v>
      </c>
      <c r="C21" s="7">
        <f t="shared" si="0"/>
        <v>0.42784623200071203</v>
      </c>
      <c r="D21" s="9">
        <f t="shared" si="1"/>
        <v>0.60535925141842806</v>
      </c>
      <c r="E21" s="11">
        <f t="shared" si="2"/>
        <v>-0.39464074858157194</v>
      </c>
      <c r="F21" s="13">
        <f t="shared" si="3"/>
        <v>-0.39464074858157194</v>
      </c>
      <c r="H21" s="21">
        <f t="shared" si="4"/>
        <v>1</v>
      </c>
      <c r="I21" s="21">
        <f t="shared" si="5"/>
        <v>1</v>
      </c>
    </row>
    <row r="22" spans="1:9" ht="14.4" x14ac:dyDescent="0.3">
      <c r="A22" s="4">
        <f>DATASET_ICAL!A18</f>
        <v>3</v>
      </c>
      <c r="B22" s="4">
        <f>DATASET_ICAL!C18</f>
        <v>1</v>
      </c>
      <c r="C22" s="7">
        <f t="shared" si="0"/>
        <v>0.93102101667306425</v>
      </c>
      <c r="D22" s="9">
        <f t="shared" si="1"/>
        <v>0.71728238172245429</v>
      </c>
      <c r="E22" s="11">
        <f t="shared" si="2"/>
        <v>-0.28271761827754571</v>
      </c>
      <c r="F22" s="13">
        <f t="shared" si="3"/>
        <v>-0.84815285483263714</v>
      </c>
      <c r="H22" s="21">
        <f t="shared" si="4"/>
        <v>1</v>
      </c>
      <c r="I22" s="21">
        <f t="shared" si="5"/>
        <v>1</v>
      </c>
    </row>
    <row r="23" spans="1:9" ht="14.4" x14ac:dyDescent="0.3">
      <c r="A23" s="4">
        <f>DATASET_ICAL!A19</f>
        <v>2</v>
      </c>
      <c r="B23" s="4">
        <f>DATASET_ICAL!C19</f>
        <v>1</v>
      </c>
      <c r="C23" s="7">
        <f t="shared" si="0"/>
        <v>0.67943362433688814</v>
      </c>
      <c r="D23" s="9">
        <f t="shared" si="1"/>
        <v>0.66361227650398691</v>
      </c>
      <c r="E23" s="11">
        <f t="shared" si="2"/>
        <v>-0.33638772349601309</v>
      </c>
      <c r="F23" s="13">
        <f t="shared" si="3"/>
        <v>-0.67277544699202618</v>
      </c>
      <c r="H23" s="21">
        <f t="shared" si="4"/>
        <v>1</v>
      </c>
      <c r="I23" s="21">
        <f t="shared" si="5"/>
        <v>1</v>
      </c>
    </row>
    <row r="24" spans="1:9" ht="14.4" x14ac:dyDescent="0.3">
      <c r="A24" s="4">
        <f>DATASET_ICAL!A20</f>
        <v>1</v>
      </c>
      <c r="B24" s="4">
        <f>DATASET_ICAL!C20</f>
        <v>0</v>
      </c>
      <c r="C24" s="7">
        <f t="shared" si="0"/>
        <v>0.42784623200071203</v>
      </c>
      <c r="D24" s="9">
        <f t="shared" si="1"/>
        <v>0.60535925141842806</v>
      </c>
      <c r="E24" s="11">
        <f t="shared" si="2"/>
        <v>0.60535925141842806</v>
      </c>
      <c r="F24" s="13">
        <f t="shared" si="3"/>
        <v>0.60535925141842806</v>
      </c>
      <c r="H24" s="21">
        <f t="shared" si="4"/>
        <v>1</v>
      </c>
      <c r="I24" s="21">
        <f t="shared" si="5"/>
        <v>0</v>
      </c>
    </row>
    <row r="25" spans="1:9" ht="14.4" x14ac:dyDescent="0.3">
      <c r="A25" s="4">
        <f>DATASET_ICAL!A21</f>
        <v>1</v>
      </c>
      <c r="B25" s="4">
        <f>DATASET_ICAL!C21</f>
        <v>1</v>
      </c>
      <c r="C25" s="7">
        <f t="shared" si="0"/>
        <v>0.42784623200071203</v>
      </c>
      <c r="D25" s="9">
        <f t="shared" si="1"/>
        <v>0.60535925141842806</v>
      </c>
      <c r="E25" s="11">
        <f t="shared" si="2"/>
        <v>-0.39464074858157194</v>
      </c>
      <c r="F25" s="13">
        <f t="shared" si="3"/>
        <v>-0.39464074858157194</v>
      </c>
      <c r="H25" s="21">
        <f t="shared" si="4"/>
        <v>1</v>
      </c>
      <c r="I25" s="21">
        <f t="shared" si="5"/>
        <v>1</v>
      </c>
    </row>
    <row r="26" spans="1:9" ht="14.4" x14ac:dyDescent="0.3">
      <c r="A26" s="4">
        <f>DATASET_ICAL!A22</f>
        <v>2</v>
      </c>
      <c r="B26" s="4">
        <f>DATASET_ICAL!C22</f>
        <v>1</v>
      </c>
      <c r="C26" s="7">
        <f t="shared" si="0"/>
        <v>0.67943362433688814</v>
      </c>
      <c r="D26" s="9">
        <f t="shared" si="1"/>
        <v>0.66361227650398691</v>
      </c>
      <c r="E26" s="11">
        <f t="shared" si="2"/>
        <v>-0.33638772349601309</v>
      </c>
      <c r="F26" s="13">
        <f t="shared" si="3"/>
        <v>-0.67277544699202618</v>
      </c>
      <c r="H26" s="21">
        <f t="shared" si="4"/>
        <v>1</v>
      </c>
      <c r="I26" s="21">
        <f t="shared" si="5"/>
        <v>1</v>
      </c>
    </row>
    <row r="27" spans="1:9" ht="14.4" x14ac:dyDescent="0.3">
      <c r="A27" s="4">
        <f>DATASET_ICAL!A23</f>
        <v>1</v>
      </c>
      <c r="B27" s="4">
        <f>DATASET_ICAL!C23</f>
        <v>1</v>
      </c>
      <c r="C27" s="7">
        <f t="shared" si="0"/>
        <v>0.42784623200071203</v>
      </c>
      <c r="D27" s="9">
        <f t="shared" si="1"/>
        <v>0.60535925141842806</v>
      </c>
      <c r="E27" s="11">
        <f t="shared" si="2"/>
        <v>-0.39464074858157194</v>
      </c>
      <c r="F27" s="13">
        <f t="shared" si="3"/>
        <v>-0.39464074858157194</v>
      </c>
      <c r="H27" s="21">
        <f t="shared" si="4"/>
        <v>1</v>
      </c>
      <c r="I27" s="21">
        <f t="shared" si="5"/>
        <v>1</v>
      </c>
    </row>
    <row r="28" spans="1:9" ht="14.4" x14ac:dyDescent="0.3">
      <c r="A28" s="4">
        <f>DATASET_ICAL!A24</f>
        <v>2</v>
      </c>
      <c r="B28" s="4">
        <f>DATASET_ICAL!C24</f>
        <v>1</v>
      </c>
      <c r="C28" s="7">
        <f t="shared" si="0"/>
        <v>0.67943362433688814</v>
      </c>
      <c r="D28" s="9">
        <f t="shared" si="1"/>
        <v>0.66361227650398691</v>
      </c>
      <c r="E28" s="11">
        <f t="shared" si="2"/>
        <v>-0.33638772349601309</v>
      </c>
      <c r="F28" s="13">
        <f t="shared" si="3"/>
        <v>-0.67277544699202618</v>
      </c>
      <c r="H28" s="21">
        <f t="shared" si="4"/>
        <v>1</v>
      </c>
      <c r="I28" s="21">
        <f t="shared" si="5"/>
        <v>1</v>
      </c>
    </row>
    <row r="29" spans="1:9" ht="14.4" x14ac:dyDescent="0.3">
      <c r="A29" s="4">
        <f>DATASET_ICAL!A25</f>
        <v>2</v>
      </c>
      <c r="B29" s="4">
        <f>DATASET_ICAL!C25</f>
        <v>1</v>
      </c>
      <c r="C29" s="7">
        <f t="shared" si="0"/>
        <v>0.67943362433688814</v>
      </c>
      <c r="D29" s="9">
        <f t="shared" si="1"/>
        <v>0.66361227650398691</v>
      </c>
      <c r="E29" s="11">
        <f t="shared" si="2"/>
        <v>-0.33638772349601309</v>
      </c>
      <c r="F29" s="13">
        <f t="shared" si="3"/>
        <v>-0.67277544699202618</v>
      </c>
      <c r="H29" s="21">
        <f t="shared" si="4"/>
        <v>1</v>
      </c>
      <c r="I29" s="21">
        <f t="shared" si="5"/>
        <v>1</v>
      </c>
    </row>
    <row r="30" spans="1:9" ht="14.4" x14ac:dyDescent="0.3">
      <c r="A30" s="4">
        <f>DATASET_ICAL!A26</f>
        <v>3</v>
      </c>
      <c r="B30" s="4">
        <f>DATASET_ICAL!C26</f>
        <v>0</v>
      </c>
      <c r="C30" s="7">
        <f t="shared" si="0"/>
        <v>0.93102101667306425</v>
      </c>
      <c r="D30" s="9">
        <f t="shared" si="1"/>
        <v>0.71728238172245429</v>
      </c>
      <c r="E30" s="11">
        <f t="shared" si="2"/>
        <v>0.71728238172245429</v>
      </c>
      <c r="F30" s="13">
        <f t="shared" si="3"/>
        <v>2.1518471451673626</v>
      </c>
      <c r="H30" s="21">
        <f t="shared" si="4"/>
        <v>1</v>
      </c>
      <c r="I30" s="21">
        <f t="shared" si="5"/>
        <v>0</v>
      </c>
    </row>
    <row r="31" spans="1:9" ht="14.4" x14ac:dyDescent="0.3">
      <c r="A31" s="4">
        <f>DATASET_ICAL!A27</f>
        <v>1</v>
      </c>
      <c r="B31" s="4">
        <f>DATASET_ICAL!C27</f>
        <v>0</v>
      </c>
      <c r="C31" s="7">
        <f t="shared" si="0"/>
        <v>0.42784623200071203</v>
      </c>
      <c r="D31" s="9">
        <f t="shared" si="1"/>
        <v>0.60535925141842806</v>
      </c>
      <c r="E31" s="11">
        <f t="shared" si="2"/>
        <v>0.60535925141842806</v>
      </c>
      <c r="F31" s="13">
        <f t="shared" si="3"/>
        <v>0.60535925141842806</v>
      </c>
      <c r="H31" s="21">
        <f t="shared" si="4"/>
        <v>1</v>
      </c>
      <c r="I31" s="21">
        <f t="shared" si="5"/>
        <v>0</v>
      </c>
    </row>
    <row r="32" spans="1:9" ht="14.4" x14ac:dyDescent="0.3">
      <c r="A32" s="4">
        <f>DATASET_ICAL!A28</f>
        <v>1</v>
      </c>
      <c r="B32" s="4">
        <f>DATASET_ICAL!C28</f>
        <v>1</v>
      </c>
      <c r="C32" s="7">
        <f t="shared" si="0"/>
        <v>0.42784623200071203</v>
      </c>
      <c r="D32" s="9">
        <f t="shared" si="1"/>
        <v>0.60535925141842806</v>
      </c>
      <c r="E32" s="11">
        <f t="shared" si="2"/>
        <v>-0.39464074858157194</v>
      </c>
      <c r="F32" s="13">
        <f t="shared" si="3"/>
        <v>-0.39464074858157194</v>
      </c>
      <c r="H32" s="21">
        <f t="shared" si="4"/>
        <v>1</v>
      </c>
      <c r="I32" s="21">
        <f t="shared" si="5"/>
        <v>1</v>
      </c>
    </row>
    <row r="33" spans="1:9" ht="14.4" x14ac:dyDescent="0.3">
      <c r="A33" s="4">
        <f>DATASET_ICAL!A29</f>
        <v>1</v>
      </c>
      <c r="B33" s="4">
        <f>DATASET_ICAL!C29</f>
        <v>1</v>
      </c>
      <c r="C33" s="7">
        <f t="shared" si="0"/>
        <v>0.42784623200071203</v>
      </c>
      <c r="D33" s="9">
        <f t="shared" si="1"/>
        <v>0.60535925141842806</v>
      </c>
      <c r="E33" s="11">
        <f t="shared" si="2"/>
        <v>-0.39464074858157194</v>
      </c>
      <c r="F33" s="13">
        <f t="shared" si="3"/>
        <v>-0.39464074858157194</v>
      </c>
      <c r="H33" s="21">
        <f t="shared" si="4"/>
        <v>1</v>
      </c>
      <c r="I33" s="21">
        <f t="shared" si="5"/>
        <v>1</v>
      </c>
    </row>
    <row r="34" spans="1:9" ht="14.4" x14ac:dyDescent="0.3">
      <c r="A34" s="4">
        <f>DATASET_ICAL!A30</f>
        <v>2</v>
      </c>
      <c r="B34" s="4">
        <f>DATASET_ICAL!C30</f>
        <v>1</v>
      </c>
      <c r="C34" s="7">
        <f t="shared" si="0"/>
        <v>0.67943362433688814</v>
      </c>
      <c r="D34" s="9">
        <f t="shared" si="1"/>
        <v>0.66361227650398691</v>
      </c>
      <c r="E34" s="11">
        <f t="shared" si="2"/>
        <v>-0.33638772349601309</v>
      </c>
      <c r="F34" s="13">
        <f t="shared" si="3"/>
        <v>-0.67277544699202618</v>
      </c>
      <c r="H34" s="21">
        <f t="shared" si="4"/>
        <v>1</v>
      </c>
      <c r="I34" s="21">
        <f t="shared" si="5"/>
        <v>1</v>
      </c>
    </row>
    <row r="35" spans="1:9" ht="14.4" x14ac:dyDescent="0.3">
      <c r="A35" s="4">
        <f>DATASET_ICAL!A31</f>
        <v>2</v>
      </c>
      <c r="B35" s="4">
        <f>DATASET_ICAL!C31</f>
        <v>1</v>
      </c>
      <c r="C35" s="7">
        <f t="shared" si="0"/>
        <v>0.67943362433688814</v>
      </c>
      <c r="D35" s="9">
        <f t="shared" si="1"/>
        <v>0.66361227650398691</v>
      </c>
      <c r="E35" s="11">
        <f t="shared" si="2"/>
        <v>-0.33638772349601309</v>
      </c>
      <c r="F35" s="13">
        <f t="shared" si="3"/>
        <v>-0.67277544699202618</v>
      </c>
      <c r="H35" s="21">
        <f t="shared" si="4"/>
        <v>1</v>
      </c>
      <c r="I35" s="21">
        <f t="shared" si="5"/>
        <v>1</v>
      </c>
    </row>
    <row r="36" spans="1:9" ht="14.4" x14ac:dyDescent="0.3">
      <c r="A36" s="4">
        <f>DATASET_ICAL!A32</f>
        <v>2</v>
      </c>
      <c r="B36" s="4">
        <f>DATASET_ICAL!C32</f>
        <v>1</v>
      </c>
      <c r="C36" s="7">
        <f t="shared" si="0"/>
        <v>0.67943362433688814</v>
      </c>
      <c r="D36" s="9">
        <f t="shared" si="1"/>
        <v>0.66361227650398691</v>
      </c>
      <c r="E36" s="11">
        <f t="shared" si="2"/>
        <v>-0.33638772349601309</v>
      </c>
      <c r="F36" s="13">
        <f t="shared" si="3"/>
        <v>-0.67277544699202618</v>
      </c>
      <c r="H36" s="21">
        <f t="shared" si="4"/>
        <v>1</v>
      </c>
      <c r="I36" s="21">
        <f t="shared" si="5"/>
        <v>1</v>
      </c>
    </row>
    <row r="37" spans="1:9" ht="14.4" x14ac:dyDescent="0.3">
      <c r="A37" s="4">
        <f>DATASET_ICAL!A33</f>
        <v>2</v>
      </c>
      <c r="B37" s="4">
        <f>DATASET_ICAL!C33</f>
        <v>1</v>
      </c>
      <c r="C37" s="7">
        <f t="shared" si="0"/>
        <v>0.67943362433688814</v>
      </c>
      <c r="D37" s="9">
        <f t="shared" si="1"/>
        <v>0.66361227650398691</v>
      </c>
      <c r="E37" s="11">
        <f t="shared" si="2"/>
        <v>-0.33638772349601309</v>
      </c>
      <c r="F37" s="13">
        <f t="shared" si="3"/>
        <v>-0.67277544699202618</v>
      </c>
      <c r="H37" s="21">
        <f t="shared" si="4"/>
        <v>1</v>
      </c>
      <c r="I37" s="21">
        <f t="shared" si="5"/>
        <v>1</v>
      </c>
    </row>
    <row r="38" spans="1:9" ht="14.4" x14ac:dyDescent="0.3">
      <c r="A38" s="4">
        <f>DATASET_ICAL!A34</f>
        <v>2</v>
      </c>
      <c r="B38" s="4">
        <f>DATASET_ICAL!C34</f>
        <v>1</v>
      </c>
      <c r="C38" s="7">
        <f t="shared" si="0"/>
        <v>0.67943362433688814</v>
      </c>
      <c r="D38" s="9">
        <f t="shared" si="1"/>
        <v>0.66361227650398691</v>
      </c>
      <c r="E38" s="11">
        <f t="shared" si="2"/>
        <v>-0.33638772349601309</v>
      </c>
      <c r="F38" s="13">
        <f t="shared" si="3"/>
        <v>-0.67277544699202618</v>
      </c>
      <c r="H38" s="21">
        <f t="shared" si="4"/>
        <v>1</v>
      </c>
      <c r="I38" s="21">
        <f t="shared" si="5"/>
        <v>1</v>
      </c>
    </row>
    <row r="39" spans="1:9" ht="14.4" x14ac:dyDescent="0.3">
      <c r="A39" s="4">
        <f>DATASET_ICAL!A35</f>
        <v>2</v>
      </c>
      <c r="B39" s="4">
        <f>DATASET_ICAL!C35</f>
        <v>1</v>
      </c>
      <c r="C39" s="7">
        <f t="shared" si="0"/>
        <v>0.67943362433688814</v>
      </c>
      <c r="D39" s="9">
        <f t="shared" si="1"/>
        <v>0.66361227650398691</v>
      </c>
      <c r="E39" s="11">
        <f t="shared" si="2"/>
        <v>-0.33638772349601309</v>
      </c>
      <c r="F39" s="13">
        <f t="shared" si="3"/>
        <v>-0.67277544699202618</v>
      </c>
      <c r="H39" s="21">
        <f t="shared" si="4"/>
        <v>1</v>
      </c>
      <c r="I39" s="21">
        <f t="shared" si="5"/>
        <v>1</v>
      </c>
    </row>
    <row r="40" spans="1:9" ht="14.4" x14ac:dyDescent="0.3">
      <c r="A40" s="4">
        <f>DATASET_ICAL!A36</f>
        <v>1</v>
      </c>
      <c r="B40" s="4">
        <f>DATASET_ICAL!C36</f>
        <v>1</v>
      </c>
      <c r="C40" s="7">
        <f t="shared" si="0"/>
        <v>0.42784623200071203</v>
      </c>
      <c r="D40" s="9">
        <f t="shared" si="1"/>
        <v>0.60535925141842806</v>
      </c>
      <c r="E40" s="11">
        <f t="shared" si="2"/>
        <v>-0.39464074858157194</v>
      </c>
      <c r="F40" s="13">
        <f t="shared" si="3"/>
        <v>-0.39464074858157194</v>
      </c>
      <c r="H40" s="21">
        <f t="shared" si="4"/>
        <v>1</v>
      </c>
      <c r="I40" s="21">
        <f t="shared" si="5"/>
        <v>1</v>
      </c>
    </row>
    <row r="41" spans="1:9" ht="14.4" x14ac:dyDescent="0.3">
      <c r="A41" s="4">
        <f>DATASET_ICAL!A37</f>
        <v>1</v>
      </c>
      <c r="B41" s="4">
        <f>DATASET_ICAL!C37</f>
        <v>0</v>
      </c>
      <c r="C41" s="7">
        <f t="shared" si="0"/>
        <v>0.42784623200071203</v>
      </c>
      <c r="D41" s="9">
        <f t="shared" si="1"/>
        <v>0.60535925141842806</v>
      </c>
      <c r="E41" s="11">
        <f t="shared" si="2"/>
        <v>0.60535925141842806</v>
      </c>
      <c r="F41" s="13">
        <f t="shared" si="3"/>
        <v>0.60535925141842806</v>
      </c>
      <c r="H41" s="21">
        <f t="shared" si="4"/>
        <v>1</v>
      </c>
      <c r="I41" s="21">
        <f t="shared" si="5"/>
        <v>0</v>
      </c>
    </row>
    <row r="42" spans="1:9" ht="14.4" x14ac:dyDescent="0.3">
      <c r="A42" s="4">
        <f>DATASET_ICAL!A38</f>
        <v>3</v>
      </c>
      <c r="B42" s="4">
        <f>DATASET_ICAL!C38</f>
        <v>1</v>
      </c>
      <c r="C42" s="7">
        <f t="shared" si="0"/>
        <v>0.93102101667306425</v>
      </c>
      <c r="D42" s="9">
        <f t="shared" si="1"/>
        <v>0.71728238172245429</v>
      </c>
      <c r="E42" s="11">
        <f t="shared" si="2"/>
        <v>-0.28271761827754571</v>
      </c>
      <c r="F42" s="13">
        <f t="shared" si="3"/>
        <v>-0.84815285483263714</v>
      </c>
      <c r="H42" s="21">
        <f t="shared" si="4"/>
        <v>1</v>
      </c>
      <c r="I42" s="21">
        <f t="shared" si="5"/>
        <v>1</v>
      </c>
    </row>
    <row r="43" spans="1:9" ht="14.4" x14ac:dyDescent="0.3">
      <c r="A43" s="4">
        <f>DATASET_ICAL!A39</f>
        <v>3</v>
      </c>
      <c r="B43" s="4">
        <f>DATASET_ICAL!C39</f>
        <v>1</v>
      </c>
      <c r="C43" s="7">
        <f t="shared" si="0"/>
        <v>0.93102101667306425</v>
      </c>
      <c r="D43" s="9">
        <f t="shared" si="1"/>
        <v>0.71728238172245429</v>
      </c>
      <c r="E43" s="11">
        <f t="shared" si="2"/>
        <v>-0.28271761827754571</v>
      </c>
      <c r="F43" s="13">
        <f t="shared" si="3"/>
        <v>-0.84815285483263714</v>
      </c>
      <c r="H43" s="21">
        <f t="shared" si="4"/>
        <v>1</v>
      </c>
      <c r="I43" s="21">
        <f t="shared" si="5"/>
        <v>1</v>
      </c>
    </row>
    <row r="44" spans="1:9" ht="14.4" x14ac:dyDescent="0.3">
      <c r="A44" s="4">
        <f>DATASET_ICAL!A40</f>
        <v>3</v>
      </c>
      <c r="B44" s="4">
        <f>DATASET_ICAL!C40</f>
        <v>1</v>
      </c>
      <c r="C44" s="7">
        <f t="shared" si="0"/>
        <v>0.93102101667306425</v>
      </c>
      <c r="D44" s="9">
        <f t="shared" si="1"/>
        <v>0.71728238172245429</v>
      </c>
      <c r="E44" s="11">
        <f t="shared" si="2"/>
        <v>-0.28271761827754571</v>
      </c>
      <c r="F44" s="13">
        <f t="shared" si="3"/>
        <v>-0.84815285483263714</v>
      </c>
      <c r="H44" s="21">
        <f t="shared" si="4"/>
        <v>1</v>
      </c>
      <c r="I44" s="21">
        <f t="shared" si="5"/>
        <v>1</v>
      </c>
    </row>
    <row r="45" spans="1:9" ht="14.4" x14ac:dyDescent="0.3">
      <c r="A45" s="4">
        <f>DATASET_ICAL!A41</f>
        <v>1</v>
      </c>
      <c r="B45" s="4">
        <f>DATASET_ICAL!C41</f>
        <v>1</v>
      </c>
      <c r="C45" s="7">
        <f t="shared" si="0"/>
        <v>0.42784623200071203</v>
      </c>
      <c r="D45" s="9">
        <f t="shared" si="1"/>
        <v>0.60535925141842806</v>
      </c>
      <c r="E45" s="11">
        <f t="shared" si="2"/>
        <v>-0.39464074858157194</v>
      </c>
      <c r="F45" s="13">
        <f t="shared" si="3"/>
        <v>-0.39464074858157194</v>
      </c>
      <c r="H45" s="21">
        <f t="shared" si="4"/>
        <v>1</v>
      </c>
      <c r="I45" s="21">
        <f t="shared" si="5"/>
        <v>1</v>
      </c>
    </row>
    <row r="46" spans="1:9" ht="14.4" x14ac:dyDescent="0.3">
      <c r="A46" s="4">
        <f>DATASET_ICAL!A42</f>
        <v>2</v>
      </c>
      <c r="B46" s="4">
        <f>DATASET_ICAL!C42</f>
        <v>1</v>
      </c>
      <c r="C46" s="7">
        <f t="shared" si="0"/>
        <v>0.67943362433688814</v>
      </c>
      <c r="D46" s="9">
        <f t="shared" si="1"/>
        <v>0.66361227650398691</v>
      </c>
      <c r="E46" s="11">
        <f t="shared" si="2"/>
        <v>-0.33638772349601309</v>
      </c>
      <c r="F46" s="13">
        <f t="shared" si="3"/>
        <v>-0.67277544699202618</v>
      </c>
      <c r="H46" s="21">
        <f t="shared" si="4"/>
        <v>1</v>
      </c>
      <c r="I46" s="21">
        <f t="shared" si="5"/>
        <v>1</v>
      </c>
    </row>
    <row r="47" spans="1:9" ht="14.4" x14ac:dyDescent="0.3">
      <c r="A47" s="4">
        <f>DATASET_ICAL!A43</f>
        <v>1</v>
      </c>
      <c r="B47" s="4">
        <f>DATASET_ICAL!C43</f>
        <v>1</v>
      </c>
      <c r="C47" s="7">
        <f t="shared" si="0"/>
        <v>0.42784623200071203</v>
      </c>
      <c r="D47" s="9">
        <f t="shared" si="1"/>
        <v>0.60535925141842806</v>
      </c>
      <c r="E47" s="11">
        <f t="shared" si="2"/>
        <v>-0.39464074858157194</v>
      </c>
      <c r="F47" s="13">
        <f t="shared" si="3"/>
        <v>-0.39464074858157194</v>
      </c>
      <c r="H47" s="21">
        <f t="shared" si="4"/>
        <v>1</v>
      </c>
      <c r="I47" s="21">
        <f t="shared" si="5"/>
        <v>1</v>
      </c>
    </row>
    <row r="48" spans="1:9" ht="14.4" x14ac:dyDescent="0.3">
      <c r="A48" s="4">
        <f>DATASET_ICAL!A44</f>
        <v>2</v>
      </c>
      <c r="B48" s="4">
        <f>DATASET_ICAL!C44</f>
        <v>1</v>
      </c>
      <c r="C48" s="7">
        <f t="shared" si="0"/>
        <v>0.67943362433688814</v>
      </c>
      <c r="D48" s="9">
        <f t="shared" si="1"/>
        <v>0.66361227650398691</v>
      </c>
      <c r="E48" s="11">
        <f t="shared" si="2"/>
        <v>-0.33638772349601309</v>
      </c>
      <c r="F48" s="13">
        <f t="shared" si="3"/>
        <v>-0.67277544699202618</v>
      </c>
      <c r="H48" s="21">
        <f t="shared" si="4"/>
        <v>1</v>
      </c>
      <c r="I48" s="21">
        <f t="shared" si="5"/>
        <v>1</v>
      </c>
    </row>
    <row r="49" spans="1:9" ht="14.4" x14ac:dyDescent="0.3">
      <c r="A49" s="4">
        <f>DATASET_ICAL!A45</f>
        <v>1</v>
      </c>
      <c r="B49" s="4">
        <f>DATASET_ICAL!C45</f>
        <v>1</v>
      </c>
      <c r="C49" s="7">
        <f t="shared" si="0"/>
        <v>0.42784623200071203</v>
      </c>
      <c r="D49" s="9">
        <f t="shared" si="1"/>
        <v>0.60535925141842806</v>
      </c>
      <c r="E49" s="11">
        <f t="shared" si="2"/>
        <v>-0.39464074858157194</v>
      </c>
      <c r="F49" s="13">
        <f t="shared" si="3"/>
        <v>-0.39464074858157194</v>
      </c>
      <c r="H49" s="21">
        <f t="shared" si="4"/>
        <v>1</v>
      </c>
      <c r="I49" s="21">
        <f t="shared" si="5"/>
        <v>1</v>
      </c>
    </row>
    <row r="50" spans="1:9" ht="14.4" x14ac:dyDescent="0.3">
      <c r="A50" s="4">
        <f>DATASET_ICAL!A46</f>
        <v>2</v>
      </c>
      <c r="B50" s="4">
        <f>DATASET_ICAL!C46</f>
        <v>0</v>
      </c>
      <c r="C50" s="7">
        <f t="shared" si="0"/>
        <v>0.67943362433688814</v>
      </c>
      <c r="D50" s="9">
        <f t="shared" si="1"/>
        <v>0.66361227650398691</v>
      </c>
      <c r="E50" s="11">
        <f t="shared" si="2"/>
        <v>0.66361227650398691</v>
      </c>
      <c r="F50" s="13">
        <f t="shared" si="3"/>
        <v>1.3272245530079738</v>
      </c>
      <c r="H50" s="21">
        <f t="shared" si="4"/>
        <v>1</v>
      </c>
      <c r="I50" s="21">
        <f t="shared" si="5"/>
        <v>0</v>
      </c>
    </row>
    <row r="51" spans="1:9" ht="14.4" x14ac:dyDescent="0.3">
      <c r="A51" s="4">
        <f>DATASET_ICAL!A47</f>
        <v>2</v>
      </c>
      <c r="B51" s="4">
        <f>DATASET_ICAL!C47</f>
        <v>0</v>
      </c>
      <c r="C51" s="7">
        <f t="shared" si="0"/>
        <v>0.67943362433688814</v>
      </c>
      <c r="D51" s="9">
        <f t="shared" si="1"/>
        <v>0.66361227650398691</v>
      </c>
      <c r="E51" s="11">
        <f t="shared" si="2"/>
        <v>0.66361227650398691</v>
      </c>
      <c r="F51" s="13">
        <f t="shared" si="3"/>
        <v>1.3272245530079738</v>
      </c>
      <c r="H51" s="21">
        <f t="shared" si="4"/>
        <v>1</v>
      </c>
      <c r="I51" s="21">
        <f t="shared" si="5"/>
        <v>0</v>
      </c>
    </row>
    <row r="52" spans="1:9" ht="14.4" x14ac:dyDescent="0.3">
      <c r="A52" s="4">
        <f>DATASET_ICAL!A48</f>
        <v>2</v>
      </c>
      <c r="B52" s="4">
        <f>DATASET_ICAL!C48</f>
        <v>1</v>
      </c>
      <c r="C52" s="7">
        <f t="shared" si="0"/>
        <v>0.67943362433688814</v>
      </c>
      <c r="D52" s="9">
        <f t="shared" si="1"/>
        <v>0.66361227650398691</v>
      </c>
      <c r="E52" s="11">
        <f t="shared" si="2"/>
        <v>-0.33638772349601309</v>
      </c>
      <c r="F52" s="13">
        <f t="shared" si="3"/>
        <v>-0.67277544699202618</v>
      </c>
      <c r="H52" s="21">
        <f t="shared" si="4"/>
        <v>1</v>
      </c>
      <c r="I52" s="21">
        <f t="shared" si="5"/>
        <v>1</v>
      </c>
    </row>
    <row r="53" spans="1:9" ht="14.4" x14ac:dyDescent="0.3">
      <c r="A53" s="4">
        <f>DATASET_ICAL!A49</f>
        <v>4</v>
      </c>
      <c r="B53" s="4">
        <f>DATASET_ICAL!C49</f>
        <v>1</v>
      </c>
      <c r="C53" s="7">
        <f t="shared" si="0"/>
        <v>1.1826084090092406</v>
      </c>
      <c r="D53" s="9">
        <f t="shared" si="1"/>
        <v>0.765416478482144</v>
      </c>
      <c r="E53" s="11">
        <f t="shared" si="2"/>
        <v>-0.234583521517856</v>
      </c>
      <c r="F53" s="13">
        <f t="shared" si="3"/>
        <v>-0.93833408607142399</v>
      </c>
      <c r="H53" s="21">
        <f t="shared" si="4"/>
        <v>1</v>
      </c>
      <c r="I53" s="21">
        <f t="shared" si="5"/>
        <v>1</v>
      </c>
    </row>
    <row r="54" spans="1:9" ht="14.4" x14ac:dyDescent="0.3">
      <c r="A54" s="4">
        <f>DATASET_ICAL!A50</f>
        <v>2</v>
      </c>
      <c r="B54" s="4">
        <f>DATASET_ICAL!C50</f>
        <v>1</v>
      </c>
      <c r="C54" s="7">
        <f t="shared" si="0"/>
        <v>0.67943362433688814</v>
      </c>
      <c r="D54" s="9">
        <f t="shared" si="1"/>
        <v>0.66361227650398691</v>
      </c>
      <c r="E54" s="11">
        <f t="shared" si="2"/>
        <v>-0.33638772349601309</v>
      </c>
      <c r="F54" s="13">
        <f t="shared" si="3"/>
        <v>-0.67277544699202618</v>
      </c>
      <c r="H54" s="21">
        <f t="shared" si="4"/>
        <v>1</v>
      </c>
      <c r="I54" s="21">
        <f t="shared" si="5"/>
        <v>1</v>
      </c>
    </row>
    <row r="55" spans="1:9" ht="14.4" x14ac:dyDescent="0.3">
      <c r="A55" s="4">
        <f>DATASET_ICAL!A51</f>
        <v>2</v>
      </c>
      <c r="B55" s="4">
        <f>DATASET_ICAL!C51</f>
        <v>1</v>
      </c>
      <c r="C55" s="7">
        <f t="shared" si="0"/>
        <v>0.67943362433688814</v>
      </c>
      <c r="D55" s="9">
        <f t="shared" si="1"/>
        <v>0.66361227650398691</v>
      </c>
      <c r="E55" s="11">
        <f t="shared" si="2"/>
        <v>-0.33638772349601309</v>
      </c>
      <c r="F55" s="13">
        <f t="shared" si="3"/>
        <v>-0.67277544699202618</v>
      </c>
      <c r="H55" s="21">
        <f t="shared" si="4"/>
        <v>1</v>
      </c>
      <c r="I55" s="21">
        <f t="shared" si="5"/>
        <v>1</v>
      </c>
    </row>
    <row r="56" spans="1:9" ht="14.4" x14ac:dyDescent="0.3">
      <c r="H56"/>
    </row>
    <row r="57" spans="1:9" ht="14.4" x14ac:dyDescent="0.3">
      <c r="A57" s="16" t="s">
        <v>11</v>
      </c>
      <c r="B57" s="16" t="s">
        <v>12</v>
      </c>
      <c r="H57"/>
    </row>
    <row r="58" spans="1:9" x14ac:dyDescent="0.25">
      <c r="A58" s="17">
        <f>AVERAGE(E6:E55)</f>
        <v>-0.14091020914374044</v>
      </c>
      <c r="B58" s="17">
        <f>AVERAGE(F6:F55)</f>
        <v>-0.27383198344139403</v>
      </c>
    </row>
    <row r="60" spans="1:9" x14ac:dyDescent="0.25">
      <c r="A60" s="14" t="s">
        <v>13</v>
      </c>
      <c r="B60" s="14" t="s">
        <v>14</v>
      </c>
    </row>
    <row r="61" spans="1:9" x14ac:dyDescent="0.25">
      <c r="A61" s="15">
        <f>F1-$F$3*B58</f>
        <v>0.27897059068031554</v>
      </c>
      <c r="B61" s="15">
        <f>F2-$F$3*A58</f>
        <v>0.1903498605789099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6</vt:i4>
      </vt:variant>
      <vt:variant>
        <vt:lpstr>Rentang Bernama</vt:lpstr>
      </vt:variant>
      <vt:variant>
        <vt:i4>5</vt:i4>
      </vt:variant>
    </vt:vector>
  </HeadingPairs>
  <TitlesOfParts>
    <vt:vector size="11" baseType="lpstr">
      <vt:lpstr>DATASET_ICAL</vt:lpstr>
      <vt:lpstr>ITERASI_1</vt:lpstr>
      <vt:lpstr>ITERASI_2</vt:lpstr>
      <vt:lpstr>ITERASI_3</vt:lpstr>
      <vt:lpstr>ITERASI_4</vt:lpstr>
      <vt:lpstr>ITERASI_5</vt:lpstr>
      <vt:lpstr>ITERASI_1!Print_Area</vt:lpstr>
      <vt:lpstr>ITERASI_2!Print_Area</vt:lpstr>
      <vt:lpstr>ITERASI_3!Print_Area</vt:lpstr>
      <vt:lpstr>ITERASI_4!Print_Area</vt:lpstr>
      <vt:lpstr>ITERASI_5!Print_Area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RIZAL HARIS</dc:creator>
  <cp:lastModifiedBy>MSI ID</cp:lastModifiedBy>
  <cp:lastPrinted>2026-01-11T13:23:29Z</cp:lastPrinted>
  <dcterms:created xsi:type="dcterms:W3CDTF">2026-01-11T13:06:23Z</dcterms:created>
  <dcterms:modified xsi:type="dcterms:W3CDTF">2026-01-11T13:35:40Z</dcterms:modified>
</cp:coreProperties>
</file>